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nthly Expiry PnL" sheetId="1" state="visible" r:id="rId3"/>
    <sheet name="Calendar Month %" sheetId="2" state="visible" r:id="rId4"/>
    <sheet name="Seasonality Stats" sheetId="3" state="visible" r:id="rId5"/>
    <sheet name="Monthly Detail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<sst xmlns="http://schemas.openxmlformats.org/spreadsheetml/2006/main" count="828" uniqueCount="321">
  <si>
    <t xml:space="preserve">BANKNIFTY — Monthly PnL (Expiry-to-Expiry)</t>
  </si>
  <si>
    <t xml:space="preserve">Index ^NSEBANK | Each row = trading day after previous expiry → expiry close | Expiry: last Thursday (to Aug-2025), last Tuesday (from Sep-2025), holiday-adjusted</t>
  </si>
  <si>
    <t xml:space="preserve">Expiry Month</t>
  </si>
  <si>
    <t xml:space="preserve">Cycle Start</t>
  </si>
  <si>
    <t xml:space="preserve">Expiry Date</t>
  </si>
  <si>
    <t xml:space="preserve">Expiry Day</t>
  </si>
  <si>
    <t xml:space="preserve">Open</t>
  </si>
  <si>
    <t xml:space="preserve">Close</t>
  </si>
  <si>
    <t xml:space="preserve">PnL %</t>
  </si>
  <si>
    <t xml:space="preserve">Prev-Expiry→Expiry %</t>
  </si>
  <si>
    <t xml:space="preserve">SUMMARY</t>
  </si>
  <si>
    <t xml:space="preserve">Sep-2007</t>
  </si>
  <si>
    <t xml:space="preserve">Thursday</t>
  </si>
  <si>
    <t xml:space="preserve">Total cycles</t>
  </si>
  <si>
    <t xml:space="preserve">Oct-2007</t>
  </si>
  <si>
    <t xml:space="preserve">Positive months</t>
  </si>
  <si>
    <t xml:space="preserve">Nov-2007</t>
  </si>
  <si>
    <t xml:space="preserve">Negative months</t>
  </si>
  <si>
    <t xml:space="preserve">Dec-2007</t>
  </si>
  <si>
    <t xml:space="preserve">Win rate</t>
  </si>
  <si>
    <t xml:space="preserve">Jan-2008</t>
  </si>
  <si>
    <t xml:space="preserve">Average PnL %</t>
  </si>
  <si>
    <t xml:space="preserve">Feb-2008</t>
  </si>
  <si>
    <t xml:space="preserve">Median PnL %</t>
  </si>
  <si>
    <t xml:space="preserve">Mar-2008</t>
  </si>
  <si>
    <t xml:space="preserve">Best month %</t>
  </si>
  <si>
    <t xml:space="preserve">Apr-2008</t>
  </si>
  <si>
    <t xml:space="preserve">Worst month %</t>
  </si>
  <si>
    <t xml:space="preserve">May-2008</t>
  </si>
  <si>
    <t xml:space="preserve">Std dev %</t>
  </si>
  <si>
    <t xml:space="preserve">Jun-2008</t>
  </si>
  <si>
    <t xml:space="preserve">Jul-2008</t>
  </si>
  <si>
    <t xml:space="preserve">Aug-2008</t>
  </si>
  <si>
    <t xml:space="preserve">Sep-2008</t>
  </si>
  <si>
    <t xml:space="preserve">Oct-2008</t>
  </si>
  <si>
    <t xml:space="preserve">Wednesday</t>
  </si>
  <si>
    <t xml:space="preserve">Nov-2008</t>
  </si>
  <si>
    <t xml:space="preserve">Dec-2008</t>
  </si>
  <si>
    <t xml:space="preserve">Jan-2009</t>
  </si>
  <si>
    <t xml:space="preserve">Feb-2009</t>
  </si>
  <si>
    <t xml:space="preserve">Mar-2009</t>
  </si>
  <si>
    <t xml:space="preserve">Apr-2009</t>
  </si>
  <si>
    <t xml:space="preserve">May-2009</t>
  </si>
  <si>
    <t xml:space="preserve">Jun-2009</t>
  </si>
  <si>
    <t xml:space="preserve">Jul-2009</t>
  </si>
  <si>
    <t xml:space="preserve">Aug-2009</t>
  </si>
  <si>
    <t xml:space="preserve">Sep-2009</t>
  </si>
  <si>
    <t xml:space="preserve">Oct-2009</t>
  </si>
  <si>
    <t xml:space="preserve">Nov-2009</t>
  </si>
  <si>
    <t xml:space="preserve">Dec-2009</t>
  </si>
  <si>
    <t xml:space="preserve">Jan-2010</t>
  </si>
  <si>
    <t xml:space="preserve">Feb-2010</t>
  </si>
  <si>
    <t xml:space="preserve">Mar-2010</t>
  </si>
  <si>
    <t xml:space="preserve">Apr-2010</t>
  </si>
  <si>
    <t xml:space="preserve">May-2010</t>
  </si>
  <si>
    <t xml:space="preserve">Jun-2010</t>
  </si>
  <si>
    <t xml:space="preserve">Jul-2010</t>
  </si>
  <si>
    <t xml:space="preserve">Aug-2010</t>
  </si>
  <si>
    <t xml:space="preserve">Sep-2010</t>
  </si>
  <si>
    <t xml:space="preserve">Oct-2010</t>
  </si>
  <si>
    <t xml:space="preserve">Nov-2010</t>
  </si>
  <si>
    <t xml:space="preserve">Dec-2010</t>
  </si>
  <si>
    <t xml:space="preserve">Jan-2011</t>
  </si>
  <si>
    <t xml:space="preserve">Feb-2011</t>
  </si>
  <si>
    <t xml:space="preserve">Mar-2011</t>
  </si>
  <si>
    <t xml:space="preserve">Apr-2011</t>
  </si>
  <si>
    <t xml:space="preserve">May-2011</t>
  </si>
  <si>
    <t xml:space="preserve">Jun-2011</t>
  </si>
  <si>
    <t xml:space="preserve">Jul-2011</t>
  </si>
  <si>
    <t xml:space="preserve">Aug-2011</t>
  </si>
  <si>
    <t xml:space="preserve">Sep-2011</t>
  </si>
  <si>
    <t xml:space="preserve">Oct-2011</t>
  </si>
  <si>
    <t xml:space="preserve">Tuesday</t>
  </si>
  <si>
    <t xml:space="preserve">Nov-2011</t>
  </si>
  <si>
    <t xml:space="preserve">Dec-2011</t>
  </si>
  <si>
    <t xml:space="preserve">Jan-2012</t>
  </si>
  <si>
    <t xml:space="preserve">Feb-2012</t>
  </si>
  <si>
    <t xml:space="preserve">Mar-2012</t>
  </si>
  <si>
    <t xml:space="preserve">Apr-2012</t>
  </si>
  <si>
    <t xml:space="preserve">May-2012</t>
  </si>
  <si>
    <t xml:space="preserve">Jun-2012</t>
  </si>
  <si>
    <t xml:space="preserve">Jul-2012</t>
  </si>
  <si>
    <t xml:space="preserve">Aug-2012</t>
  </si>
  <si>
    <t xml:space="preserve">Sep-2012</t>
  </si>
  <si>
    <t xml:space="preserve">Oct-2012</t>
  </si>
  <si>
    <t xml:space="preserve">Nov-2012</t>
  </si>
  <si>
    <t xml:space="preserve">Dec-2012</t>
  </si>
  <si>
    <t xml:space="preserve">Jan-2013</t>
  </si>
  <si>
    <t xml:space="preserve">Feb-2013</t>
  </si>
  <si>
    <t xml:space="preserve">Mar-2013</t>
  </si>
  <si>
    <t xml:space="preserve">Apr-2013</t>
  </si>
  <si>
    <t xml:space="preserve">May-2013</t>
  </si>
  <si>
    <t xml:space="preserve">Jun-2013</t>
  </si>
  <si>
    <t xml:space="preserve">Jul-2013</t>
  </si>
  <si>
    <t xml:space="preserve">Aug-2013</t>
  </si>
  <si>
    <t xml:space="preserve">Sep-2013</t>
  </si>
  <si>
    <t xml:space="preserve">Oct-2013</t>
  </si>
  <si>
    <t xml:space="preserve">Nov-2013</t>
  </si>
  <si>
    <t xml:space="preserve">Dec-2013</t>
  </si>
  <si>
    <t xml:space="preserve">Jan-2014</t>
  </si>
  <si>
    <t xml:space="preserve">Feb-2014</t>
  </si>
  <si>
    <t xml:space="preserve">Mar-2014</t>
  </si>
  <si>
    <t xml:space="preserve">Apr-2014</t>
  </si>
  <si>
    <t xml:space="preserve">May-2014</t>
  </si>
  <si>
    <t xml:space="preserve">Jun-2014</t>
  </si>
  <si>
    <t xml:space="preserve">Jul-2014</t>
  </si>
  <si>
    <t xml:space="preserve">Aug-2014</t>
  </si>
  <si>
    <t xml:space="preserve">Sep-2014</t>
  </si>
  <si>
    <t xml:space="preserve">Oct-2014</t>
  </si>
  <si>
    <t xml:space="preserve">Nov-2014</t>
  </si>
  <si>
    <t xml:space="preserve">Dec-2014</t>
  </si>
  <si>
    <t xml:space="preserve">Jan-2015</t>
  </si>
  <si>
    <t xml:space="preserve">Feb-2015</t>
  </si>
  <si>
    <t xml:space="preserve">Mar-2015</t>
  </si>
  <si>
    <t xml:space="preserve">Apr-2015</t>
  </si>
  <si>
    <t xml:space="preserve">May-2015</t>
  </si>
  <si>
    <t xml:space="preserve">Jun-2015</t>
  </si>
  <si>
    <t xml:space="preserve">Jul-2015</t>
  </si>
  <si>
    <t xml:space="preserve">Aug-2015</t>
  </si>
  <si>
    <t xml:space="preserve">Sep-2015</t>
  </si>
  <si>
    <t xml:space="preserve">Oct-2015</t>
  </si>
  <si>
    <t xml:space="preserve">Nov-2015</t>
  </si>
  <si>
    <t xml:space="preserve">Dec-2015</t>
  </si>
  <si>
    <t xml:space="preserve">Jan-2016</t>
  </si>
  <si>
    <t xml:space="preserve">Feb-2016</t>
  </si>
  <si>
    <t xml:space="preserve">Mar-2016</t>
  </si>
  <si>
    <t xml:space="preserve">Apr-2016</t>
  </si>
  <si>
    <t xml:space="preserve">May-2016</t>
  </si>
  <si>
    <t xml:space="preserve">Jun-2016</t>
  </si>
  <si>
    <t xml:space="preserve">Jul-2016</t>
  </si>
  <si>
    <t xml:space="preserve">Aug-2016</t>
  </si>
  <si>
    <t xml:space="preserve">Sep-2016</t>
  </si>
  <si>
    <t xml:space="preserve">Oct-2016</t>
  </si>
  <si>
    <t xml:space="preserve">Nov-2016</t>
  </si>
  <si>
    <t xml:space="preserve">Dec-2016</t>
  </si>
  <si>
    <t xml:space="preserve">Jan-2017</t>
  </si>
  <si>
    <t xml:space="preserve">Feb-2017</t>
  </si>
  <si>
    <t xml:space="preserve">Mar-2017</t>
  </si>
  <si>
    <t xml:space="preserve">Apr-2017</t>
  </si>
  <si>
    <t xml:space="preserve">May-2017</t>
  </si>
  <si>
    <t xml:space="preserve">Jun-2017</t>
  </si>
  <si>
    <t xml:space="preserve">Jul-2017</t>
  </si>
  <si>
    <t xml:space="preserve">Aug-2017</t>
  </si>
  <si>
    <t xml:space="preserve">Sep-2017</t>
  </si>
  <si>
    <t xml:space="preserve">Oct-2017</t>
  </si>
  <si>
    <t xml:space="preserve">Nov-2017</t>
  </si>
  <si>
    <t xml:space="preserve">Dec-2017</t>
  </si>
  <si>
    <t xml:space="preserve">Jan-2018</t>
  </si>
  <si>
    <t xml:space="preserve">Feb-2018</t>
  </si>
  <si>
    <t xml:space="preserve">Mar-2018</t>
  </si>
  <si>
    <t xml:space="preserve">Apr-2018</t>
  </si>
  <si>
    <t xml:space="preserve">May-2018</t>
  </si>
  <si>
    <t xml:space="preserve">Jun-2018</t>
  </si>
  <si>
    <t xml:space="preserve">Jul-2018</t>
  </si>
  <si>
    <t xml:space="preserve">Aug-2018</t>
  </si>
  <si>
    <t xml:space="preserve">Sep-2018</t>
  </si>
  <si>
    <t xml:space="preserve">Oct-2018</t>
  </si>
  <si>
    <t xml:space="preserve">Nov-2018</t>
  </si>
  <si>
    <t xml:space="preserve">Dec-2018</t>
  </si>
  <si>
    <t xml:space="preserve">Jan-2019</t>
  </si>
  <si>
    <t xml:space="preserve">Feb-2019</t>
  </si>
  <si>
    <t xml:space="preserve">Mar-2019</t>
  </si>
  <si>
    <t xml:space="preserve">Apr-2019</t>
  </si>
  <si>
    <t xml:space="preserve">May-2019</t>
  </si>
  <si>
    <t xml:space="preserve">Jun-2019</t>
  </si>
  <si>
    <t xml:space="preserve">Jul-2019</t>
  </si>
  <si>
    <t xml:space="preserve">Aug-2019</t>
  </si>
  <si>
    <t xml:space="preserve">Sep-2019</t>
  </si>
  <si>
    <t xml:space="preserve">Oct-2019</t>
  </si>
  <si>
    <t xml:space="preserve">Nov-2019</t>
  </si>
  <si>
    <t xml:space="preserve">Dec-2019</t>
  </si>
  <si>
    <t xml:space="preserve">Jan-2020</t>
  </si>
  <si>
    <t xml:space="preserve">Feb-2020</t>
  </si>
  <si>
    <t xml:space="preserve">Mar-2020</t>
  </si>
  <si>
    <t xml:space="preserve">Apr-2020</t>
  </si>
  <si>
    <t xml:space="preserve">May-2020</t>
  </si>
  <si>
    <t xml:space="preserve">Jun-2020</t>
  </si>
  <si>
    <t xml:space="preserve">Jul-2020</t>
  </si>
  <si>
    <t xml:space="preserve">Aug-2020</t>
  </si>
  <si>
    <t xml:space="preserve">Sep-2020</t>
  </si>
  <si>
    <t xml:space="preserve">Oct-2020</t>
  </si>
  <si>
    <t xml:space="preserve">Nov-2020</t>
  </si>
  <si>
    <t xml:space="preserve">Dec-2020</t>
  </si>
  <si>
    <t xml:space="preserve">Jan-2021</t>
  </si>
  <si>
    <t xml:space="preserve">Feb-2021</t>
  </si>
  <si>
    <t xml:space="preserve">Mar-2021</t>
  </si>
  <si>
    <t xml:space="preserve">Apr-2021</t>
  </si>
  <si>
    <t xml:space="preserve">May-2021</t>
  </si>
  <si>
    <t xml:space="preserve">Jun-2021</t>
  </si>
  <si>
    <t xml:space="preserve">Jul-2021</t>
  </si>
  <si>
    <t xml:space="preserve">Aug-2021</t>
  </si>
  <si>
    <t xml:space="preserve">Sep-2021</t>
  </si>
  <si>
    <t xml:space="preserve">Oct-2021</t>
  </si>
  <si>
    <t xml:space="preserve">Nov-2021</t>
  </si>
  <si>
    <t xml:space="preserve">Dec-2021</t>
  </si>
  <si>
    <t xml:space="preserve">Jan-2022</t>
  </si>
  <si>
    <t xml:space="preserve">Feb-2022</t>
  </si>
  <si>
    <t xml:space="preserve">Mar-2022</t>
  </si>
  <si>
    <t xml:space="preserve">Apr-2022</t>
  </si>
  <si>
    <t xml:space="preserve">May-2022</t>
  </si>
  <si>
    <t xml:space="preserve">Jun-2022</t>
  </si>
  <si>
    <t xml:space="preserve">Jul-2022</t>
  </si>
  <si>
    <t xml:space="preserve">Aug-2022</t>
  </si>
  <si>
    <t xml:space="preserve">Sep-2022</t>
  </si>
  <si>
    <t xml:space="preserve">Oct-2022</t>
  </si>
  <si>
    <t xml:space="preserve">Nov-2022</t>
  </si>
  <si>
    <t xml:space="preserve">Dec-2022</t>
  </si>
  <si>
    <t xml:space="preserve">Jan-2023</t>
  </si>
  <si>
    <t xml:space="preserve">Feb-2023</t>
  </si>
  <si>
    <t xml:space="preserve">Mar-2023</t>
  </si>
  <si>
    <t xml:space="preserve">Apr-2023</t>
  </si>
  <si>
    <t xml:space="preserve">May-2023</t>
  </si>
  <si>
    <t xml:space="preserve">Jun-2023</t>
  </si>
  <si>
    <t xml:space="preserve">Jul-2023</t>
  </si>
  <si>
    <t xml:space="preserve">Aug-2023</t>
  </si>
  <si>
    <t xml:space="preserve">Sep-2023</t>
  </si>
  <si>
    <t xml:space="preserve">Oct-2023</t>
  </si>
  <si>
    <t xml:space="preserve">Nov-2023</t>
  </si>
  <si>
    <t xml:space="preserve">Dec-2023</t>
  </si>
  <si>
    <t xml:space="preserve">Jan-2024</t>
  </si>
  <si>
    <t xml:space="preserve">Feb-2024</t>
  </si>
  <si>
    <t xml:space="preserve">Mar-2024</t>
  </si>
  <si>
    <t xml:space="preserve">Apr-2024</t>
  </si>
  <si>
    <t xml:space="preserve">May-2024</t>
  </si>
  <si>
    <t xml:space="preserve">Jun-2024</t>
  </si>
  <si>
    <t xml:space="preserve">Jul-2024</t>
  </si>
  <si>
    <t xml:space="preserve">Aug-2024</t>
  </si>
  <si>
    <t xml:space="preserve">Sep-2024</t>
  </si>
  <si>
    <t xml:space="preserve">Oct-2024</t>
  </si>
  <si>
    <t xml:space="preserve">Nov-2024</t>
  </si>
  <si>
    <t xml:space="preserve">Dec-2024</t>
  </si>
  <si>
    <t xml:space="preserve">Jan-2025</t>
  </si>
  <si>
    <t xml:space="preserve">Feb-2025</t>
  </si>
  <si>
    <t xml:space="preserve">Mar-2025</t>
  </si>
  <si>
    <t xml:space="preserve">Apr-2025</t>
  </si>
  <si>
    <t xml:space="preserve">May-2025</t>
  </si>
  <si>
    <t xml:space="preserve">Jun-2025</t>
  </si>
  <si>
    <t xml:space="preserve">Jul-2025</t>
  </si>
  <si>
    <t xml:space="preserve">Aug-2025</t>
  </si>
  <si>
    <t xml:space="preserve">Sep-2025</t>
  </si>
  <si>
    <t xml:space="preserve">Oct-2025</t>
  </si>
  <si>
    <t xml:space="preserve">Nov-2025</t>
  </si>
  <si>
    <t xml:space="preserve">Dec-2025</t>
  </si>
  <si>
    <t xml:space="preserve">Jan-2026</t>
  </si>
  <si>
    <t xml:space="preserve">Feb-2026</t>
  </si>
  <si>
    <t xml:space="preserve">Mar-2026</t>
  </si>
  <si>
    <t xml:space="preserve">Monday</t>
  </si>
  <si>
    <t xml:space="preserve">Apr-2026</t>
  </si>
  <si>
    <t xml:space="preserve">May-2026</t>
  </si>
  <si>
    <t xml:space="preserve">BANKNIFTY — Monthly Returns: Calendar vs Expiry-to-Expiry (%)</t>
  </si>
  <si>
    <t xml:space="preserve">① CALENDAR MONTH-TO-MONTH  (first open of month → last close of month)</t>
  </si>
  <si>
    <t xml:space="preserve">Year</t>
  </si>
  <si>
    <t xml:space="preserve">Jan</t>
  </si>
  <si>
    <t xml:space="preserve">Feb</t>
  </si>
  <si>
    <t xml:space="preserve">Mar</t>
  </si>
  <si>
    <t xml:space="preserve">Apr</t>
  </si>
  <si>
    <t xml:space="preserve">May</t>
  </si>
  <si>
    <t xml:space="preserve">Jun</t>
  </si>
  <si>
    <t xml:space="preserve">Jul</t>
  </si>
  <si>
    <t xml:space="preserve">Aug</t>
  </si>
  <si>
    <t xml:space="preserve">Sep</t>
  </si>
  <si>
    <t xml:space="preserve">Oct</t>
  </si>
  <si>
    <t xml:space="preserve">Nov</t>
  </si>
  <si>
    <t xml:space="preserve">Dec</t>
  </si>
  <si>
    <t xml:space="preserve">Year %</t>
  </si>
  <si>
    <t xml:space="preserve">2007</t>
  </si>
  <si>
    <t xml:space="preserve">2008</t>
  </si>
  <si>
    <t xml:space="preserve">2009</t>
  </si>
  <si>
    <t xml:space="preserve">2010</t>
  </si>
  <si>
    <t xml:space="preserve">2011</t>
  </si>
  <si>
    <t xml:space="preserve">2012</t>
  </si>
  <si>
    <t xml:space="preserve">2013</t>
  </si>
  <si>
    <t xml:space="preserve">2014</t>
  </si>
  <si>
    <t xml:space="preserve">2015</t>
  </si>
  <si>
    <t xml:space="preserve">2016</t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</si>
  <si>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</si>
  <si>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</si>
  <si>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</si>
  <si>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</si>
  <si>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</si>
  <si>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</si>
  <si>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</si>
  <si>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</si>
  <si>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</si>
  <si>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t xml:space="preserve">2026</t>
  </si>
  <si>
    <t xml:space="preserve">Average</t>
  </si>
  <si>
    <t xml:space="preserve">Median</t>
  </si>
  <si>
    <t xml:space="preserve">Win %</t>
  </si>
  <si>
    <t xml:space="preserve">Std Dev</t>
  </si>
  <si>
    <t xml:space="preserve">Best</t>
  </si>
  <si>
    <t xml:space="preserve">Worst</t>
  </si>
  <si>
    <t xml:space="preserve">   </t>
  </si>
  <si>
    <t xml:space="preserve">② EXPIRY-TO-EXPIRY  (day after prev expiry open → expiry close; col = expiry month)</t>
  </si>
  <si>
    <t xml:space="preserve">Yr (compd) %</t>
  </si>
  <si>
    <t xml:space="preserve">BANKNIFTY — Calendar-Month Seasonality (2007–2026)</t>
  </si>
  <si>
    <t xml:space="preserve">Month</t>
  </si>
  <si>
    <t xml:space="preserve">Years</t>
  </si>
  <si>
    <t xml:space="preserve">Avg %</t>
  </si>
  <si>
    <t xml:space="preserve">Median %</t>
  </si>
  <si>
    <t xml:space="preserve">Best %</t>
  </si>
  <si>
    <t xml:space="preserve">Best Yr</t>
  </si>
  <si>
    <t xml:space="preserve">Worst %</t>
  </si>
  <si>
    <t xml:space="preserve">Worst Yr</t>
  </si>
  <si>
    <t xml:space="preserve">Up/Down</t>
  </si>
  <si>
    <t xml:space="preserve">7 / 12</t>
  </si>
  <si>
    <t xml:space="preserve">6 / 13</t>
  </si>
  <si>
    <t xml:space="preserve">11 / 8</t>
  </si>
  <si>
    <t xml:space="preserve">15 / 4</t>
  </si>
  <si>
    <t xml:space="preserve">10 / 9</t>
  </si>
  <si>
    <t xml:space="preserve">11 / 7</t>
  </si>
  <si>
    <t xml:space="preserve">8 / 10</t>
  </si>
  <si>
    <t xml:space="preserve">12 / 7</t>
  </si>
  <si>
    <t xml:space="preserve">13 / 6</t>
  </si>
  <si>
    <t xml:space="preserve">BANKNIFTY — Monthly OHLC Detail (^NSEBANK)</t>
  </si>
  <si>
    <t xml:space="preserve">High</t>
  </si>
  <si>
    <t xml:space="preserve">Low</t>
  </si>
  <si>
    <t xml:space="preserve">Month %</t>
  </si>
  <si>
    <t xml:space="preserve">Range %</t>
  </si>
  <si>
    <t xml:space="preserve">Max Up %</t>
  </si>
  <si>
    <t xml:space="preserve">Max Dn %</t>
  </si>
  <si>
    <t xml:space="preserve">Days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</si>
</sst>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dd\-mmm\-yyyy"/>
    <numFmt numFmtId="166" formatCode="#,##0.00"/>
    <numFmt numFmtId="167" formatCode="0.00%;[RED]\(0.00%\)"/>
    <numFmt numFmtId="168" formatCode="0.0%"/>
    <numFmt numFmtId="169" formatCode="0.00%"/>
    <numFmt numFmtId="170" formatCode="0.00;[RED]\-0.00"/>
    <numFmt numFmtId="171" formatCode="0%"/>
    <numFmt numFmtId="172" formatCode="0.00"/>
    <numFmt numFmtId="173" formatCode="0.00%;[RED]\-0.0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i val="true"/>
      <sz val="8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sz val="9"/>
      <name val="Arial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5496"/>
        <bgColor rgb="FF2F6B6B"/>
      </patternFill>
    </fill>
    <fill>
      <patternFill patternType="solid">
        <fgColor rgb="FFF2F5FB"/>
        <bgColor rgb="FFFFFFFF"/>
      </patternFill>
    </fill>
    <fill>
      <patternFill patternType="solid">
        <fgColor rgb="FFFFF2CC"/>
        <bgColor rgb="FFE2EFDA"/>
      </patternFill>
    </fill>
    <fill>
      <patternFill patternType="solid">
        <fgColor rgb="FFE2EFDA"/>
        <bgColor rgb="FFF2F5FB"/>
      </patternFill>
    </fill>
    <fill>
      <patternFill patternType="solid">
        <fgColor rgb="FF2F6B6B"/>
        <bgColor rgb="FF2E54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5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9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2" fontId="8" fillId="6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8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3" fontId="10" fillId="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F6B6B"/>
      <rgbColor rgb="FFBFBFBF"/>
      <rgbColor rgb="FF808080"/>
      <rgbColor rgb="FF9999FF"/>
      <rgbColor rgb="FF993366"/>
      <rgbColor rgb="FFFFF2CC"/>
      <rgbColor rgb="FFE2EFDA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2F5FB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E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2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12"/>
    <col collapsed="false" customWidth="true" hidden="false" outlineLevel="0" max="3" min="2" style="1" width="13"/>
    <col collapsed="false" customWidth="true" hidden="false" outlineLevel="0" max="6" min="4" style="1" width="12"/>
    <col collapsed="false" customWidth="true" hidden="false" outlineLevel="0" max="7" min="7" style="1" width="10"/>
    <col collapsed="false" customWidth="true" hidden="false" outlineLevel="0" max="8" min="8" style="1" width="14"/>
    <col collapsed="false" customWidth="true" hidden="false" outlineLevel="0" max="9" min="9" style="1" width="3"/>
    <col collapsed="false" customWidth="true" hidden="false" outlineLevel="0" max="10" min="10" style="1" width="16"/>
    <col collapsed="false" customWidth="true" hidden="false" outlineLevel="0" max="11" min="11" style="1" width="12"/>
  </cols>
  <sheetData>
    <row r="1" customFormat="false" ht="25.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</row>
    <row r="2" customFormat="false" ht="24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</row>
    <row r="4" customFormat="false" ht="30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J4" s="5" t="s">
        <v>10</v>
      </c>
      <c r="K4" s="6"/>
    </row>
    <row r="5" customFormat="false" ht="15" hidden="false" customHeight="true" outlineLevel="0" collapsed="false">
      <c r="A5" s="7" t="s">
        <v>11</v>
      </c>
      <c r="B5" s="8" t="n">
        <v>39342</v>
      </c>
      <c r="C5" s="8" t="n">
        <v>39352</v>
      </c>
      <c r="D5" s="7" t="s">
        <v>12</v>
      </c>
      <c r="E5" s="9" t="n">
        <v>6898</v>
      </c>
      <c r="F5" s="9" t="n">
        <v>7833.65</v>
      </c>
      <c r="G5" s="10" t="n">
        <f aca="false">(F5/E5-1)</f>
        <v>0.135640765439258</v>
      </c>
      <c r="H5" s="10"/>
      <c r="J5" s="11" t="s">
        <v>13</v>
      </c>
      <c r="K5" s="12" t="n">
        <f aca="false">COUNT(G5:G229)</f>
        <v>225</v>
      </c>
    </row>
    <row r="6" customFormat="false" ht="15" hidden="false" customHeight="true" outlineLevel="0" collapsed="false">
      <c r="A6" s="13" t="s">
        <v>14</v>
      </c>
      <c r="B6" s="14" t="n">
        <v>39353</v>
      </c>
      <c r="C6" s="14" t="n">
        <v>39380</v>
      </c>
      <c r="D6" s="13" t="s">
        <v>12</v>
      </c>
      <c r="E6" s="15" t="n">
        <v>7838.25</v>
      </c>
      <c r="F6" s="15" t="n">
        <v>8428.65</v>
      </c>
      <c r="G6" s="16" t="n">
        <f aca="false">(F6/E6-1)</f>
        <v>0.0753229356042484</v>
      </c>
      <c r="H6" s="16" t="n">
        <f aca="false">(F6/F5-1)</f>
        <v>0.0759543763124468</v>
      </c>
      <c r="J6" s="11" t="s">
        <v>15</v>
      </c>
      <c r="K6" s="12" t="n">
        <f aca="false">COUNTIF(G5:G229,"&gt;0")</f>
        <v>128</v>
      </c>
    </row>
    <row r="7" customFormat="false" ht="15" hidden="false" customHeight="true" outlineLevel="0" collapsed="false">
      <c r="A7" s="7" t="s">
        <v>16</v>
      </c>
      <c r="B7" s="8" t="n">
        <v>39381</v>
      </c>
      <c r="C7" s="8" t="n">
        <v>39415</v>
      </c>
      <c r="D7" s="7" t="s">
        <v>12</v>
      </c>
      <c r="E7" s="9" t="n">
        <v>8426.4</v>
      </c>
      <c r="F7" s="9" t="n">
        <v>9124.4</v>
      </c>
      <c r="G7" s="10" t="n">
        <f aca="false">(F7/E7-1)</f>
        <v>0.0828348998386026</v>
      </c>
      <c r="H7" s="10" t="n">
        <f aca="false">(F7/F6-1)</f>
        <v>0.0825458406743667</v>
      </c>
      <c r="J7" s="11" t="s">
        <v>17</v>
      </c>
      <c r="K7" s="12" t="n">
        <f aca="false">COUNTIF(G5:G229,"&lt;0")</f>
        <v>97</v>
      </c>
    </row>
    <row r="8" customFormat="false" ht="15" hidden="false" customHeight="true" outlineLevel="0" collapsed="false">
      <c r="A8" s="13" t="s">
        <v>18</v>
      </c>
      <c r="B8" s="14" t="n">
        <v>39416</v>
      </c>
      <c r="C8" s="14" t="n">
        <v>39443</v>
      </c>
      <c r="D8" s="13" t="s">
        <v>12</v>
      </c>
      <c r="E8" s="15" t="n">
        <v>9230.8</v>
      </c>
      <c r="F8" s="15" t="n">
        <v>9785.05</v>
      </c>
      <c r="G8" s="16" t="n">
        <f aca="false">(F8/E8-1)</f>
        <v>0.0600435498548337</v>
      </c>
      <c r="H8" s="16" t="n">
        <f aca="false">(F8/F7-1)</f>
        <v>0.0724047608609881</v>
      </c>
      <c r="J8" s="11" t="s">
        <v>19</v>
      </c>
      <c r="K8" s="17" t="n">
        <f aca="false">COUNTIF(G5:G229,"&gt;0")/COUNT(G5:G229)</f>
        <v>0.568888888888889</v>
      </c>
    </row>
    <row r="9" customFormat="false" ht="15" hidden="false" customHeight="true" outlineLevel="0" collapsed="false">
      <c r="A9" s="7" t="s">
        <v>20</v>
      </c>
      <c r="B9" s="8" t="n">
        <v>39444</v>
      </c>
      <c r="C9" s="8" t="n">
        <v>39478</v>
      </c>
      <c r="D9" s="7" t="s">
        <v>12</v>
      </c>
      <c r="E9" s="9" t="n">
        <v>9742.05</v>
      </c>
      <c r="F9" s="9" t="n">
        <v>9226.25</v>
      </c>
      <c r="G9" s="10" t="n">
        <f aca="false">(F9/E9-1)</f>
        <v>-0.0529457352405294</v>
      </c>
      <c r="H9" s="10" t="n">
        <f aca="false">(F9/F8-1)</f>
        <v>-0.0571075262773312</v>
      </c>
      <c r="J9" s="11" t="s">
        <v>21</v>
      </c>
      <c r="K9" s="18" t="n">
        <f aca="false">AVERAGE(G5:G229)</f>
        <v>0.0110494255806464</v>
      </c>
    </row>
    <row r="10" customFormat="false" ht="15" hidden="false" customHeight="true" outlineLevel="0" collapsed="false">
      <c r="A10" s="13" t="s">
        <v>22</v>
      </c>
      <c r="B10" s="14" t="n">
        <v>39479</v>
      </c>
      <c r="C10" s="14" t="n">
        <v>39506</v>
      </c>
      <c r="D10" s="13" t="s">
        <v>12</v>
      </c>
      <c r="E10" s="15" t="n">
        <v>9320.25</v>
      </c>
      <c r="F10" s="15" t="n">
        <v>8608.25</v>
      </c>
      <c r="G10" s="16" t="n">
        <f aca="false">(F10/E10-1)</f>
        <v>-0.0763928006223009</v>
      </c>
      <c r="H10" s="16" t="n">
        <f aca="false">(F10/F9-1)</f>
        <v>-0.0669827936593958</v>
      </c>
      <c r="J10" s="11" t="s">
        <v>23</v>
      </c>
      <c r="K10" s="18" t="n">
        <f aca="false">MEDIAN(G5:G229)</f>
        <v>0.00864338842089474</v>
      </c>
    </row>
    <row r="11" customFormat="false" ht="15" hidden="false" customHeight="true" outlineLevel="0" collapsed="false">
      <c r="A11" s="7" t="s">
        <v>24</v>
      </c>
      <c r="B11" s="8" t="n">
        <v>39507</v>
      </c>
      <c r="C11" s="8" t="n">
        <v>39534</v>
      </c>
      <c r="D11" s="7" t="s">
        <v>12</v>
      </c>
      <c r="E11" s="9" t="n">
        <v>8535.85</v>
      </c>
      <c r="F11" s="9" t="n">
        <v>6969.3</v>
      </c>
      <c r="G11" s="10" t="n">
        <f aca="false">(F11/E11-1)</f>
        <v>-0.183525952307035</v>
      </c>
      <c r="H11" s="10" t="n">
        <f aca="false">(F11/F10-1)</f>
        <v>-0.190392937008103</v>
      </c>
      <c r="J11" s="11" t="s">
        <v>25</v>
      </c>
      <c r="K11" s="18" t="n">
        <f aca="false">MAX(G5:G229)</f>
        <v>0.386931254429483</v>
      </c>
    </row>
    <row r="12" customFormat="false" ht="15" hidden="false" customHeight="true" outlineLevel="0" collapsed="false">
      <c r="A12" s="13" t="s">
        <v>26</v>
      </c>
      <c r="B12" s="14" t="n">
        <v>39535</v>
      </c>
      <c r="C12" s="14" t="n">
        <v>39562</v>
      </c>
      <c r="D12" s="13" t="s">
        <v>12</v>
      </c>
      <c r="E12" s="15" t="n">
        <v>7022.05</v>
      </c>
      <c r="F12" s="15" t="n">
        <v>7391.9</v>
      </c>
      <c r="G12" s="16" t="n">
        <f aca="false">(F12/E12-1)</f>
        <v>0.0526698044018483</v>
      </c>
      <c r="H12" s="16" t="n">
        <f aca="false">(F12/F11-1)</f>
        <v>0.0606373667369748</v>
      </c>
      <c r="J12" s="11" t="s">
        <v>27</v>
      </c>
      <c r="K12" s="18" t="n">
        <f aca="false">MIN(G5:G229)</f>
        <v>-0.335156966328888</v>
      </c>
    </row>
    <row r="13" customFormat="false" ht="15" hidden="false" customHeight="true" outlineLevel="0" collapsed="false">
      <c r="A13" s="7" t="s">
        <v>28</v>
      </c>
      <c r="B13" s="8" t="n">
        <v>39563</v>
      </c>
      <c r="C13" s="8" t="n">
        <v>39597</v>
      </c>
      <c r="D13" s="7" t="s">
        <v>12</v>
      </c>
      <c r="E13" s="9" t="n">
        <v>7409.5</v>
      </c>
      <c r="F13" s="9" t="n">
        <v>6576.75</v>
      </c>
      <c r="G13" s="10" t="n">
        <f aca="false">(F13/E13-1)</f>
        <v>-0.11238949996626</v>
      </c>
      <c r="H13" s="10" t="n">
        <f aca="false">(F13/F12-1)</f>
        <v>-0.110276113042655</v>
      </c>
      <c r="J13" s="11" t="s">
        <v>29</v>
      </c>
      <c r="K13" s="18" t="n">
        <f aca="false">STDEV(G5:G229)</f>
        <v>0.0834125395575177</v>
      </c>
    </row>
    <row r="14" customFormat="false" ht="15" hidden="false" customHeight="true" outlineLevel="0" collapsed="false">
      <c r="A14" s="13" t="s">
        <v>30</v>
      </c>
      <c r="B14" s="14" t="n">
        <v>39598</v>
      </c>
      <c r="C14" s="14" t="n">
        <v>39625</v>
      </c>
      <c r="D14" s="13" t="s">
        <v>12</v>
      </c>
      <c r="E14" s="15" t="n">
        <v>6608.6</v>
      </c>
      <c r="F14" s="15" t="n">
        <v>5512.15</v>
      </c>
      <c r="G14" s="16" t="n">
        <f aca="false">(F14/E14-1)</f>
        <v>-0.165912598734982</v>
      </c>
      <c r="H14" s="16" t="n">
        <f aca="false">(F14/F13-1)</f>
        <v>-0.161873265670734</v>
      </c>
    </row>
    <row r="15" customFormat="false" ht="15" hidden="false" customHeight="true" outlineLevel="0" collapsed="false">
      <c r="A15" s="7" t="s">
        <v>31</v>
      </c>
      <c r="B15" s="8" t="n">
        <v>39626</v>
      </c>
      <c r="C15" s="8" t="n">
        <v>39660</v>
      </c>
      <c r="D15" s="7" t="s">
        <v>12</v>
      </c>
      <c r="E15" s="9" t="n">
        <v>5343.9</v>
      </c>
      <c r="F15" s="9" t="n">
        <v>5730.05</v>
      </c>
      <c r="G15" s="10" t="n">
        <f aca="false">(F15/E15-1)</f>
        <v>0.0722599599543405</v>
      </c>
      <c r="H15" s="10" t="n">
        <f aca="false">(F15/F14-1)</f>
        <v>0.0395308545667299</v>
      </c>
    </row>
    <row r="16" customFormat="false" ht="15" hidden="false" customHeight="true" outlineLevel="0" collapsed="false">
      <c r="A16" s="13" t="s">
        <v>32</v>
      </c>
      <c r="B16" s="14" t="n">
        <v>39661</v>
      </c>
      <c r="C16" s="14" t="n">
        <v>39688</v>
      </c>
      <c r="D16" s="13" t="s">
        <v>12</v>
      </c>
      <c r="E16" s="15" t="n">
        <v>5655.35</v>
      </c>
      <c r="F16" s="15" t="n">
        <v>5721.15</v>
      </c>
      <c r="G16" s="16" t="n">
        <f aca="false">(F16/E16-1)</f>
        <v>0.0116350004862651</v>
      </c>
      <c r="H16" s="16" t="n">
        <f aca="false">(F16/F15-1)</f>
        <v>-0.00155321506793149</v>
      </c>
    </row>
    <row r="17" customFormat="false" ht="15" hidden="false" customHeight="true" outlineLevel="0" collapsed="false">
      <c r="A17" s="7" t="s">
        <v>33</v>
      </c>
      <c r="B17" s="8" t="n">
        <v>39689</v>
      </c>
      <c r="C17" s="8" t="n">
        <v>39716</v>
      </c>
      <c r="D17" s="7" t="s">
        <v>12</v>
      </c>
      <c r="E17" s="9" t="n">
        <v>5828</v>
      </c>
      <c r="F17" s="9" t="n">
        <v>6080.2</v>
      </c>
      <c r="G17" s="10" t="n">
        <f aca="false">(F17/E17-1)</f>
        <v>0.0432738503774879</v>
      </c>
      <c r="H17" s="10" t="n">
        <f aca="false">(F17/F16-1)</f>
        <v>0.0627583615182263</v>
      </c>
    </row>
    <row r="18" customFormat="false" ht="15" hidden="false" customHeight="true" outlineLevel="0" collapsed="false">
      <c r="A18" s="13" t="s">
        <v>34</v>
      </c>
      <c r="B18" s="14" t="n">
        <v>39717</v>
      </c>
      <c r="C18" s="14" t="n">
        <v>39750</v>
      </c>
      <c r="D18" s="13" t="s">
        <v>35</v>
      </c>
      <c r="E18" s="15" t="n">
        <v>6070.6</v>
      </c>
      <c r="F18" s="15" t="n">
        <v>4280.45</v>
      </c>
      <c r="G18" s="16" t="n">
        <f aca="false">(F18/E18-1)</f>
        <v>-0.294888478898297</v>
      </c>
      <c r="H18" s="16" t="n">
        <f aca="false">(F18/F17-1)</f>
        <v>-0.29600177625736</v>
      </c>
    </row>
    <row r="19" customFormat="false" ht="15" hidden="false" customHeight="true" outlineLevel="0" collapsed="false">
      <c r="A19" s="7" t="s">
        <v>36</v>
      </c>
      <c r="B19" s="8" t="n">
        <v>39752</v>
      </c>
      <c r="C19" s="8" t="n">
        <v>39778</v>
      </c>
      <c r="D19" s="7" t="s">
        <v>35</v>
      </c>
      <c r="E19" s="9" t="n">
        <v>4364.35</v>
      </c>
      <c r="F19" s="9" t="n">
        <v>4267.9</v>
      </c>
      <c r="G19" s="10" t="n">
        <f aca="false">(F19/E19-1)</f>
        <v>-0.0220995108091699</v>
      </c>
      <c r="H19" s="10" t="n">
        <f aca="false">(F19/F18-1)</f>
        <v>-0.00293193472648912</v>
      </c>
    </row>
    <row r="20" customFormat="false" ht="15" hidden="false" customHeight="true" outlineLevel="0" collapsed="false">
      <c r="A20" s="13" t="s">
        <v>37</v>
      </c>
      <c r="B20" s="14" t="n">
        <v>39780</v>
      </c>
      <c r="C20" s="14" t="n">
        <v>39806</v>
      </c>
      <c r="D20" s="13" t="s">
        <v>35</v>
      </c>
      <c r="E20" s="15" t="n">
        <v>4148.75</v>
      </c>
      <c r="F20" s="15" t="n">
        <v>4930.25</v>
      </c>
      <c r="G20" s="16" t="n">
        <f aca="false">(F20/E20-1)</f>
        <v>0.188369990961133</v>
      </c>
      <c r="H20" s="16" t="n">
        <f aca="false">(F20/F19-1)</f>
        <v>0.155193420651843</v>
      </c>
    </row>
    <row r="21" customFormat="false" ht="15" hidden="false" customHeight="true" outlineLevel="0" collapsed="false">
      <c r="A21" s="7" t="s">
        <v>38</v>
      </c>
      <c r="B21" s="8" t="n">
        <v>39808</v>
      </c>
      <c r="C21" s="8" t="n">
        <v>39842</v>
      </c>
      <c r="D21" s="7" t="s">
        <v>12</v>
      </c>
      <c r="E21" s="9" t="n">
        <v>4964.35</v>
      </c>
      <c r="F21" s="9" t="n">
        <v>4362.05</v>
      </c>
      <c r="G21" s="10" t="n">
        <f aca="false">(F21/E21-1)</f>
        <v>-0.121325047589312</v>
      </c>
      <c r="H21" s="10" t="n">
        <f aca="false">(F21/F20-1)</f>
        <v>-0.115247705491608</v>
      </c>
    </row>
    <row r="22" customFormat="false" ht="15" hidden="false" customHeight="true" outlineLevel="0" collapsed="false">
      <c r="A22" s="13" t="s">
        <v>39</v>
      </c>
      <c r="B22" s="14" t="n">
        <v>39843</v>
      </c>
      <c r="C22" s="14" t="n">
        <v>39870</v>
      </c>
      <c r="D22" s="13" t="s">
        <v>12</v>
      </c>
      <c r="E22" s="15" t="n">
        <v>4289.65</v>
      </c>
      <c r="F22" s="15" t="n">
        <v>3834.9</v>
      </c>
      <c r="G22" s="16" t="n">
        <f aca="false">(F22/E22-1)</f>
        <v>-0.106010979916776</v>
      </c>
      <c r="H22" s="16" t="n">
        <f aca="false">(F22/F21-1)</f>
        <v>-0.120849142031843</v>
      </c>
    </row>
    <row r="23" customFormat="false" ht="15" hidden="false" customHeight="true" outlineLevel="0" collapsed="false">
      <c r="A23" s="7" t="s">
        <v>40</v>
      </c>
      <c r="B23" s="8" t="n">
        <v>39871</v>
      </c>
      <c r="C23" s="8" t="n">
        <v>39898</v>
      </c>
      <c r="D23" s="7" t="s">
        <v>12</v>
      </c>
      <c r="E23" s="9" t="n">
        <v>3823.25</v>
      </c>
      <c r="F23" s="9" t="n">
        <v>4285.15</v>
      </c>
      <c r="G23" s="10" t="n">
        <f aca="false">(F23/E23-1)</f>
        <v>0.120813444059374</v>
      </c>
      <c r="H23" s="10" t="n">
        <f aca="false">(F23/F22-1)</f>
        <v>0.117408537380375</v>
      </c>
    </row>
    <row r="24" customFormat="false" ht="15" hidden="false" customHeight="true" outlineLevel="0" collapsed="false">
      <c r="A24" s="13" t="s">
        <v>41</v>
      </c>
      <c r="B24" s="14" t="n">
        <v>39899</v>
      </c>
      <c r="C24" s="14" t="n">
        <v>39932</v>
      </c>
      <c r="D24" s="13" t="s">
        <v>35</v>
      </c>
      <c r="E24" s="15" t="n">
        <v>4282.35</v>
      </c>
      <c r="F24" s="15" t="n">
        <v>5130.95</v>
      </c>
      <c r="G24" s="16" t="n">
        <f aca="false">(F24/E24-1)</f>
        <v>0.198162224012516</v>
      </c>
      <c r="H24" s="16" t="n">
        <f aca="false">(F24/F23-1)</f>
        <v>0.197379321610679</v>
      </c>
    </row>
    <row r="25" customFormat="false" ht="15" hidden="false" customHeight="true" outlineLevel="0" collapsed="false">
      <c r="A25" s="7" t="s">
        <v>42</v>
      </c>
      <c r="B25" s="8" t="n">
        <v>39937</v>
      </c>
      <c r="C25" s="8" t="n">
        <v>39961</v>
      </c>
      <c r="D25" s="7" t="s">
        <v>12</v>
      </c>
      <c r="E25" s="9" t="n">
        <v>5291.25</v>
      </c>
      <c r="F25" s="9" t="n">
        <v>7338.6</v>
      </c>
      <c r="G25" s="10" t="n">
        <f aca="false">(F25/E25-1)</f>
        <v>0.386931254429483</v>
      </c>
      <c r="H25" s="10" t="n">
        <f aca="false">(F25/F24-1)</f>
        <v>0.430261452557519</v>
      </c>
    </row>
    <row r="26" customFormat="false" ht="15" hidden="false" customHeight="true" outlineLevel="0" collapsed="false">
      <c r="A26" s="13" t="s">
        <v>43</v>
      </c>
      <c r="B26" s="14" t="n">
        <v>39962</v>
      </c>
      <c r="C26" s="14" t="n">
        <v>39989</v>
      </c>
      <c r="D26" s="13" t="s">
        <v>12</v>
      </c>
      <c r="E26" s="15" t="n">
        <v>7373.9</v>
      </c>
      <c r="F26" s="15" t="n">
        <v>7123</v>
      </c>
      <c r="G26" s="16" t="n">
        <f aca="false">(F26/E26-1)</f>
        <v>-0.0340254139600482</v>
      </c>
      <c r="H26" s="16" t="n">
        <f aca="false">(F26/F25-1)</f>
        <v>-0.0293789006077454</v>
      </c>
    </row>
    <row r="27" customFormat="false" ht="15" hidden="false" customHeight="true" outlineLevel="0" collapsed="false">
      <c r="A27" s="7" t="s">
        <v>44</v>
      </c>
      <c r="B27" s="8" t="n">
        <v>39990</v>
      </c>
      <c r="C27" s="8" t="n">
        <v>40024</v>
      </c>
      <c r="D27" s="7" t="s">
        <v>12</v>
      </c>
      <c r="E27" s="9" t="n">
        <v>7182.2</v>
      </c>
      <c r="F27" s="9" t="n">
        <v>7389.7</v>
      </c>
      <c r="G27" s="10" t="n">
        <f aca="false">(F27/E27-1)</f>
        <v>0.0288908690930356</v>
      </c>
      <c r="H27" s="10" t="n">
        <f aca="false">(F27/F26-1)</f>
        <v>0.0374420890074407</v>
      </c>
    </row>
    <row r="28" customFormat="false" ht="15" hidden="false" customHeight="true" outlineLevel="0" collapsed="false">
      <c r="A28" s="13" t="s">
        <v>45</v>
      </c>
      <c r="B28" s="14" t="n">
        <v>40025</v>
      </c>
      <c r="C28" s="14" t="n">
        <v>40052</v>
      </c>
      <c r="D28" s="13" t="s">
        <v>12</v>
      </c>
      <c r="E28" s="15" t="n">
        <v>7472.05</v>
      </c>
      <c r="F28" s="15" t="n">
        <v>7385.65</v>
      </c>
      <c r="G28" s="16" t="n">
        <f aca="false">(F28/E28-1)</f>
        <v>-0.0115630917887327</v>
      </c>
      <c r="H28" s="16" t="n">
        <f aca="false">(F28/F27-1)</f>
        <v>-0.000548060137759321</v>
      </c>
    </row>
    <row r="29" customFormat="false" ht="15" hidden="false" customHeight="true" outlineLevel="0" collapsed="false">
      <c r="A29" s="7" t="s">
        <v>46</v>
      </c>
      <c r="B29" s="8" t="n">
        <v>40053</v>
      </c>
      <c r="C29" s="8" t="n">
        <v>40080</v>
      </c>
      <c r="D29" s="7" t="s">
        <v>12</v>
      </c>
      <c r="E29" s="9" t="n">
        <v>7407.55</v>
      </c>
      <c r="F29" s="9" t="n">
        <v>8545</v>
      </c>
      <c r="G29" s="10" t="n">
        <f aca="false">(F29/E29-1)</f>
        <v>0.153552794108713</v>
      </c>
      <c r="H29" s="10" t="n">
        <f aca="false">(F29/F28-1)</f>
        <v>0.156973319883829</v>
      </c>
    </row>
    <row r="30" customFormat="false" ht="15" hidden="false" customHeight="true" outlineLevel="0" collapsed="false">
      <c r="A30" s="13" t="s">
        <v>47</v>
      </c>
      <c r="B30" s="14" t="n">
        <v>40081</v>
      </c>
      <c r="C30" s="14" t="n">
        <v>40115</v>
      </c>
      <c r="D30" s="13" t="s">
        <v>12</v>
      </c>
      <c r="E30" s="15" t="n">
        <v>8485.15</v>
      </c>
      <c r="F30" s="15" t="n">
        <v>8417.85</v>
      </c>
      <c r="G30" s="16" t="n">
        <f aca="false">(F30/E30-1)</f>
        <v>-0.00793150386263053</v>
      </c>
      <c r="H30" s="16" t="n">
        <f aca="false">(F30/F29-1)</f>
        <v>-0.0148800468110005</v>
      </c>
    </row>
    <row r="31" customFormat="false" ht="15" hidden="false" customHeight="true" outlineLevel="0" collapsed="false">
      <c r="A31" s="7" t="s">
        <v>48</v>
      </c>
      <c r="B31" s="8" t="n">
        <v>40116</v>
      </c>
      <c r="C31" s="8" t="n">
        <v>40143</v>
      </c>
      <c r="D31" s="7" t="s">
        <v>12</v>
      </c>
      <c r="E31" s="9" t="n">
        <v>8476.95</v>
      </c>
      <c r="F31" s="9" t="n">
        <v>9067.65</v>
      </c>
      <c r="G31" s="10" t="n">
        <f aca="false">(F31/E31-1)</f>
        <v>0.0696830817687963</v>
      </c>
      <c r="H31" s="10" t="n">
        <f aca="false">(F31/F30-1)</f>
        <v>0.0771931075036973</v>
      </c>
    </row>
    <row r="32" customFormat="false" ht="15" hidden="false" customHeight="true" outlineLevel="0" collapsed="false">
      <c r="A32" s="13" t="s">
        <v>49</v>
      </c>
      <c r="B32" s="14" t="n">
        <v>40144</v>
      </c>
      <c r="C32" s="14" t="n">
        <v>40178</v>
      </c>
      <c r="D32" s="13" t="s">
        <v>12</v>
      </c>
      <c r="E32" s="15" t="n">
        <v>8994.2</v>
      </c>
      <c r="F32" s="15" t="n">
        <v>9029.5</v>
      </c>
      <c r="G32" s="16" t="n">
        <f aca="false">(F32/E32-1)</f>
        <v>0.00392475150652638</v>
      </c>
      <c r="H32" s="16" t="n">
        <f aca="false">(F32/F31-1)</f>
        <v>-0.00420726428567486</v>
      </c>
    </row>
    <row r="33" customFormat="false" ht="15" hidden="false" customHeight="true" outlineLevel="0" collapsed="false">
      <c r="A33" s="7" t="s">
        <v>50</v>
      </c>
      <c r="B33" s="8" t="n">
        <v>40182</v>
      </c>
      <c r="C33" s="8" t="n">
        <v>40206</v>
      </c>
      <c r="D33" s="7" t="s">
        <v>12</v>
      </c>
      <c r="E33" s="9" t="n">
        <v>9031.9</v>
      </c>
      <c r="F33" s="9" t="n">
        <v>8423.85</v>
      </c>
      <c r="G33" s="10" t="n">
        <f aca="false">(F33/E33-1)</f>
        <v>-0.0673224902844362</v>
      </c>
      <c r="H33" s="10" t="n">
        <f aca="false">(F33/F32-1)</f>
        <v>-0.0670745888476659</v>
      </c>
    </row>
    <row r="34" customFormat="false" ht="15" hidden="false" customHeight="true" outlineLevel="0" collapsed="false">
      <c r="A34" s="13" t="s">
        <v>51</v>
      </c>
      <c r="B34" s="14" t="n">
        <v>40207</v>
      </c>
      <c r="C34" s="14" t="n">
        <v>40234</v>
      </c>
      <c r="D34" s="13" t="s">
        <v>12</v>
      </c>
      <c r="E34" s="15" t="n">
        <v>8346.55</v>
      </c>
      <c r="F34" s="15" t="n">
        <v>8537.8</v>
      </c>
      <c r="G34" s="16" t="n">
        <f aca="false">(F34/E34-1)</f>
        <v>0.0229136589369261</v>
      </c>
      <c r="H34" s="16" t="n">
        <f aca="false">(F34/F33-1)</f>
        <v>0.0135270689767741</v>
      </c>
    </row>
    <row r="35" customFormat="false" ht="15" hidden="false" customHeight="true" outlineLevel="0" collapsed="false">
      <c r="A35" s="7" t="s">
        <v>52</v>
      </c>
      <c r="B35" s="8" t="n">
        <v>40235</v>
      </c>
      <c r="C35" s="8" t="n">
        <v>40262</v>
      </c>
      <c r="D35" s="7" t="s">
        <v>12</v>
      </c>
      <c r="E35" s="9" t="n">
        <v>8535.45</v>
      </c>
      <c r="F35" s="9" t="n">
        <v>9318.25</v>
      </c>
      <c r="G35" s="10" t="n">
        <f aca="false">(F35/E35-1)</f>
        <v>0.0917116262177153</v>
      </c>
      <c r="H35" s="10" t="n">
        <f aca="false">(F35/F34-1)</f>
        <v>0.0914111363583126</v>
      </c>
    </row>
    <row r="36" customFormat="false" ht="15" hidden="false" customHeight="true" outlineLevel="0" collapsed="false">
      <c r="A36" s="13" t="s">
        <v>53</v>
      </c>
      <c r="B36" s="14" t="n">
        <v>40263</v>
      </c>
      <c r="C36" s="14" t="n">
        <v>40297</v>
      </c>
      <c r="D36" s="13" t="s">
        <v>12</v>
      </c>
      <c r="E36" s="15" t="n">
        <v>9331.65</v>
      </c>
      <c r="F36" s="15" t="n">
        <v>9803.8</v>
      </c>
      <c r="G36" s="16" t="n">
        <f aca="false">(F36/E36-1)</f>
        <v>0.0505966254628067</v>
      </c>
      <c r="H36" s="16" t="n">
        <f aca="false">(F36/F35-1)</f>
        <v>0.0521074236042174</v>
      </c>
    </row>
    <row r="37" customFormat="false" ht="15" hidden="false" customHeight="true" outlineLevel="0" collapsed="false">
      <c r="A37" s="7" t="s">
        <v>54</v>
      </c>
      <c r="B37" s="8" t="n">
        <v>40298</v>
      </c>
      <c r="C37" s="8" t="n">
        <v>40325</v>
      </c>
      <c r="D37" s="7" t="s">
        <v>12</v>
      </c>
      <c r="E37" s="9" t="n">
        <v>9809.4</v>
      </c>
      <c r="F37" s="9" t="n">
        <v>9258.45</v>
      </c>
      <c r="G37" s="10" t="n">
        <f aca="false">(F37/E37-1)</f>
        <v>-0.0561655147103798</v>
      </c>
      <c r="H37" s="10" t="n">
        <f aca="false">(F37/F36-1)</f>
        <v>-0.055626389767233</v>
      </c>
    </row>
    <row r="38" customFormat="false" ht="15" hidden="false" customHeight="true" outlineLevel="0" collapsed="false">
      <c r="A38" s="13" t="s">
        <v>55</v>
      </c>
      <c r="B38" s="14" t="n">
        <v>40326</v>
      </c>
      <c r="C38" s="14" t="n">
        <v>40353</v>
      </c>
      <c r="D38" s="13" t="s">
        <v>12</v>
      </c>
      <c r="E38" s="15" t="n">
        <v>9285.95</v>
      </c>
      <c r="F38" s="15" t="n">
        <v>9673.6</v>
      </c>
      <c r="G38" s="16" t="n">
        <f aca="false">(F38/E38-1)</f>
        <v>0.0417458633742374</v>
      </c>
      <c r="H38" s="16" t="n">
        <f aca="false">(F38/F37-1)</f>
        <v>0.044840119026403</v>
      </c>
    </row>
    <row r="39" customFormat="false" ht="15" hidden="false" customHeight="true" outlineLevel="0" collapsed="false">
      <c r="A39" s="7" t="s">
        <v>56</v>
      </c>
      <c r="B39" s="8" t="n">
        <v>40354</v>
      </c>
      <c r="C39" s="8" t="n">
        <v>40388</v>
      </c>
      <c r="D39" s="7" t="s">
        <v>12</v>
      </c>
      <c r="E39" s="9" t="n">
        <v>9627.6</v>
      </c>
      <c r="F39" s="9" t="n">
        <v>10179.7</v>
      </c>
      <c r="G39" s="10" t="n">
        <f aca="false">(F39/E39-1)</f>
        <v>0.0573455482155469</v>
      </c>
      <c r="H39" s="10" t="n">
        <f aca="false">(F39/F38-1)</f>
        <v>0.0523176480317567</v>
      </c>
    </row>
    <row r="40" customFormat="false" ht="15" hidden="false" customHeight="true" outlineLevel="0" collapsed="false">
      <c r="A40" s="13" t="s">
        <v>57</v>
      </c>
      <c r="B40" s="14" t="n">
        <v>40389</v>
      </c>
      <c r="C40" s="14" t="n">
        <v>40416</v>
      </c>
      <c r="D40" s="13" t="s">
        <v>12</v>
      </c>
      <c r="E40" s="15" t="n">
        <v>10152.5</v>
      </c>
      <c r="F40" s="15" t="n">
        <v>10981.7</v>
      </c>
      <c r="G40" s="16" t="n">
        <f aca="false">(F40/E40-1)</f>
        <v>0.0816744644176313</v>
      </c>
      <c r="H40" s="16" t="n">
        <f aca="false">(F40/F39-1)</f>
        <v>0.0787842470799729</v>
      </c>
    </row>
    <row r="41" customFormat="false" ht="15" hidden="false" customHeight="true" outlineLevel="0" collapsed="false">
      <c r="A41" s="7" t="s">
        <v>58</v>
      </c>
      <c r="B41" s="8" t="n">
        <v>40417</v>
      </c>
      <c r="C41" s="8" t="n">
        <v>40451</v>
      </c>
      <c r="D41" s="7" t="s">
        <v>12</v>
      </c>
      <c r="E41" s="9" t="n">
        <v>11003.25</v>
      </c>
      <c r="F41" s="9" t="n">
        <v>12366.35</v>
      </c>
      <c r="G41" s="10" t="n">
        <f aca="false">(F41/E41-1)</f>
        <v>0.123881580442142</v>
      </c>
      <c r="H41" s="10" t="n">
        <f aca="false">(F41/F40-1)</f>
        <v>0.126087035704854</v>
      </c>
    </row>
    <row r="42" customFormat="false" ht="15" hidden="false" customHeight="true" outlineLevel="0" collapsed="false">
      <c r="A42" s="13" t="s">
        <v>59</v>
      </c>
      <c r="B42" s="14" t="n">
        <v>40452</v>
      </c>
      <c r="C42" s="14" t="n">
        <v>40479</v>
      </c>
      <c r="D42" s="13" t="s">
        <v>12</v>
      </c>
      <c r="E42" s="15" t="n">
        <v>12390.9</v>
      </c>
      <c r="F42" s="15" t="n">
        <v>12105.3</v>
      </c>
      <c r="G42" s="16" t="n">
        <f aca="false">(F42/E42-1)</f>
        <v>-0.023049173183546</v>
      </c>
      <c r="H42" s="16" t="n">
        <f aca="false">(F42/F41-1)</f>
        <v>-0.0211097049654911</v>
      </c>
    </row>
    <row r="43" customFormat="false" ht="15" hidden="false" customHeight="true" outlineLevel="0" collapsed="false">
      <c r="A43" s="7" t="s">
        <v>60</v>
      </c>
      <c r="B43" s="8" t="n">
        <v>40480</v>
      </c>
      <c r="C43" s="8" t="n">
        <v>40507</v>
      </c>
      <c r="D43" s="7" t="s">
        <v>12</v>
      </c>
      <c r="E43" s="9" t="n">
        <v>12145.7</v>
      </c>
      <c r="F43" s="9" t="n">
        <v>11652.4</v>
      </c>
      <c r="G43" s="10" t="n">
        <f aca="false">(F43/E43-1)</f>
        <v>-0.0406151971479619</v>
      </c>
      <c r="H43" s="10" t="n">
        <f aca="false">(F43/F42-1)</f>
        <v>-0.0374133643941084</v>
      </c>
    </row>
    <row r="44" customFormat="false" ht="15" hidden="false" customHeight="true" outlineLevel="0" collapsed="false">
      <c r="A44" s="13" t="s">
        <v>61</v>
      </c>
      <c r="B44" s="14" t="n">
        <v>40508</v>
      </c>
      <c r="C44" s="14" t="n">
        <v>40542</v>
      </c>
      <c r="D44" s="13" t="s">
        <v>12</v>
      </c>
      <c r="E44" s="15" t="n">
        <v>11703.25</v>
      </c>
      <c r="F44" s="15" t="n">
        <v>11629.3</v>
      </c>
      <c r="G44" s="16" t="n">
        <f aca="false">(F44/E44-1)</f>
        <v>-0.00631875761006562</v>
      </c>
      <c r="H44" s="16" t="n">
        <f aca="false">(F44/F43-1)</f>
        <v>-0.00198242422161965</v>
      </c>
    </row>
    <row r="45" customFormat="false" ht="15" hidden="false" customHeight="true" outlineLevel="0" collapsed="false">
      <c r="A45" s="7" t="s">
        <v>62</v>
      </c>
      <c r="B45" s="8" t="n">
        <v>40543</v>
      </c>
      <c r="C45" s="8" t="n">
        <v>40570</v>
      </c>
      <c r="D45" s="7" t="s">
        <v>12</v>
      </c>
      <c r="E45" s="9" t="n">
        <v>11633.65</v>
      </c>
      <c r="F45" s="9" t="n">
        <v>10676.15</v>
      </c>
      <c r="G45" s="10" t="n">
        <f aca="false">(F45/E45-1)</f>
        <v>-0.0823043498815935</v>
      </c>
      <c r="H45" s="10" t="n">
        <f aca="false">(F45/F44-1)</f>
        <v>-0.0819610810624887</v>
      </c>
    </row>
    <row r="46" customFormat="false" ht="15" hidden="false" customHeight="true" outlineLevel="0" collapsed="false">
      <c r="A46" s="13" t="s">
        <v>63</v>
      </c>
      <c r="B46" s="14" t="n">
        <v>40571</v>
      </c>
      <c r="C46" s="14" t="n">
        <v>40598</v>
      </c>
      <c r="D46" s="13" t="s">
        <v>12</v>
      </c>
      <c r="E46" s="15" t="n">
        <v>10690.05</v>
      </c>
      <c r="F46" s="15" t="n">
        <v>10210.75</v>
      </c>
      <c r="G46" s="16" t="n">
        <f aca="false">(F46/E46-1)</f>
        <v>-0.0448360858929565</v>
      </c>
      <c r="H46" s="16" t="n">
        <f aca="false">(F46/F45-1)</f>
        <v>-0.0435924935487043</v>
      </c>
    </row>
    <row r="47" customFormat="false" ht="15" hidden="false" customHeight="true" outlineLevel="0" collapsed="false">
      <c r="A47" s="7" t="s">
        <v>64</v>
      </c>
      <c r="B47" s="8" t="n">
        <v>40599</v>
      </c>
      <c r="C47" s="8" t="n">
        <v>40633</v>
      </c>
      <c r="D47" s="7" t="s">
        <v>12</v>
      </c>
      <c r="E47" s="9" t="n">
        <v>10329.65</v>
      </c>
      <c r="F47" s="9" t="n">
        <v>11705.45</v>
      </c>
      <c r="G47" s="10" t="n">
        <f aca="false">(F47/E47-1)</f>
        <v>0.133189411064267</v>
      </c>
      <c r="H47" s="10" t="n">
        <f aca="false">(F47/F46-1)</f>
        <v>0.146384937443381</v>
      </c>
    </row>
    <row r="48" customFormat="false" ht="15" hidden="false" customHeight="true" outlineLevel="0" collapsed="false">
      <c r="A48" s="13" t="s">
        <v>65</v>
      </c>
      <c r="B48" s="14" t="n">
        <v>40634</v>
      </c>
      <c r="C48" s="14" t="n">
        <v>40661</v>
      </c>
      <c r="D48" s="13" t="s">
        <v>12</v>
      </c>
      <c r="E48" s="15" t="n">
        <v>11713.05</v>
      </c>
      <c r="F48" s="15" t="n">
        <v>11684.8</v>
      </c>
      <c r="G48" s="16" t="n">
        <f aca="false">(F48/E48-1)</f>
        <v>-0.00241183978553838</v>
      </c>
      <c r="H48" s="16" t="n">
        <f aca="false">(F48/F47-1)</f>
        <v>-0.0017641355095277</v>
      </c>
    </row>
    <row r="49" customFormat="false" ht="15" hidden="false" customHeight="true" outlineLevel="0" collapsed="false">
      <c r="A49" s="7" t="s">
        <v>66</v>
      </c>
      <c r="B49" s="8" t="n">
        <v>40662</v>
      </c>
      <c r="C49" s="8" t="n">
        <v>40689</v>
      </c>
      <c r="D49" s="7" t="s">
        <v>12</v>
      </c>
      <c r="E49" s="9" t="n">
        <v>11671.05</v>
      </c>
      <c r="F49" s="9" t="n">
        <v>10468.3</v>
      </c>
      <c r="G49" s="10" t="n">
        <f aca="false">(F49/E49-1)</f>
        <v>-0.103054138230922</v>
      </c>
      <c r="H49" s="10" t="n">
        <f aca="false">(F49/F48-1)</f>
        <v>-0.104109612488019</v>
      </c>
    </row>
    <row r="50" customFormat="false" ht="15" hidden="false" customHeight="true" outlineLevel="0" collapsed="false">
      <c r="A50" s="13" t="s">
        <v>67</v>
      </c>
      <c r="B50" s="14" t="n">
        <v>40690</v>
      </c>
      <c r="C50" s="14" t="n">
        <v>40724</v>
      </c>
      <c r="D50" s="13" t="s">
        <v>12</v>
      </c>
      <c r="E50" s="15" t="n">
        <v>10491.45</v>
      </c>
      <c r="F50" s="15" t="n">
        <v>11244.65</v>
      </c>
      <c r="G50" s="16" t="n">
        <f aca="false">(F50/E50-1)</f>
        <v>0.0717917923642584</v>
      </c>
      <c r="H50" s="16" t="n">
        <f aca="false">(F50/F49-1)</f>
        <v>0.0741619938289886</v>
      </c>
    </row>
    <row r="51" customFormat="false" ht="15" hidden="false" customHeight="true" outlineLevel="0" collapsed="false">
      <c r="A51" s="7" t="s">
        <v>68</v>
      </c>
      <c r="B51" s="8" t="n">
        <v>40725</v>
      </c>
      <c r="C51" s="8" t="n">
        <v>40752</v>
      </c>
      <c r="D51" s="7" t="s">
        <v>12</v>
      </c>
      <c r="E51" s="9" t="n">
        <v>11359.95</v>
      </c>
      <c r="F51" s="9" t="n">
        <v>10828.5</v>
      </c>
      <c r="G51" s="10" t="n">
        <f aca="false">(F51/E51-1)</f>
        <v>-0.0467827763326424</v>
      </c>
      <c r="H51" s="10" t="n">
        <f aca="false">(F51/F50-1)</f>
        <v>-0.0370087108091404</v>
      </c>
    </row>
    <row r="52" customFormat="false" ht="15" hidden="false" customHeight="true" outlineLevel="0" collapsed="false">
      <c r="A52" s="13" t="s">
        <v>69</v>
      </c>
      <c r="B52" s="14" t="n">
        <v>40753</v>
      </c>
      <c r="C52" s="14" t="n">
        <v>40780</v>
      </c>
      <c r="D52" s="13" t="s">
        <v>12</v>
      </c>
      <c r="E52" s="15" t="n">
        <v>10820.65</v>
      </c>
      <c r="F52" s="15" t="n">
        <v>9177.25</v>
      </c>
      <c r="G52" s="16" t="n">
        <f aca="false">(F52/E52-1)</f>
        <v>-0.151876273606484</v>
      </c>
      <c r="H52" s="16" t="n">
        <f aca="false">(F52/F51-1)</f>
        <v>-0.152491111418941</v>
      </c>
    </row>
    <row r="53" customFormat="false" ht="15" hidden="false" customHeight="true" outlineLevel="0" collapsed="false">
      <c r="A53" s="7" t="s">
        <v>70</v>
      </c>
      <c r="B53" s="8" t="n">
        <v>40781</v>
      </c>
      <c r="C53" s="8" t="n">
        <v>40815</v>
      </c>
      <c r="D53" s="7" t="s">
        <v>12</v>
      </c>
      <c r="E53" s="9" t="n">
        <v>9186.4</v>
      </c>
      <c r="F53" s="9" t="n">
        <v>9653.4</v>
      </c>
      <c r="G53" s="10" t="n">
        <f aca="false">(F53/E53-1)</f>
        <v>0.0508360184620744</v>
      </c>
      <c r="H53" s="10" t="n">
        <f aca="false">(F53/F52-1)</f>
        <v>0.0518837342341114</v>
      </c>
    </row>
    <row r="54" customFormat="false" ht="15" hidden="false" customHeight="true" outlineLevel="0" collapsed="false">
      <c r="A54" s="13" t="s">
        <v>71</v>
      </c>
      <c r="B54" s="14" t="n">
        <v>40816</v>
      </c>
      <c r="C54" s="14" t="n">
        <v>40841</v>
      </c>
      <c r="D54" s="13" t="s">
        <v>72</v>
      </c>
      <c r="E54" s="15" t="n">
        <v>9600.35</v>
      </c>
      <c r="F54" s="15" t="n">
        <v>9511.6</v>
      </c>
      <c r="G54" s="16" t="n">
        <f aca="false">(F54/E54-1)</f>
        <v>-0.00924445462925827</v>
      </c>
      <c r="H54" s="16" t="n">
        <f aca="false">(F54/F53-1)</f>
        <v>-0.014689125075103</v>
      </c>
    </row>
    <row r="55" customFormat="false" ht="15" hidden="false" customHeight="true" outlineLevel="0" collapsed="false">
      <c r="A55" s="7" t="s">
        <v>73</v>
      </c>
      <c r="B55" s="8" t="n">
        <v>40844</v>
      </c>
      <c r="C55" s="8" t="n">
        <v>40871</v>
      </c>
      <c r="D55" s="7" t="s">
        <v>12</v>
      </c>
      <c r="E55" s="9" t="n">
        <v>9837.95</v>
      </c>
      <c r="F55" s="9" t="n">
        <v>8472.5</v>
      </c>
      <c r="G55" s="10" t="n">
        <f aca="false">(F55/E55-1)</f>
        <v>-0.138794159352304</v>
      </c>
      <c r="H55" s="10" t="n">
        <f aca="false">(F55/F54-1)</f>
        <v>-0.109245552798688</v>
      </c>
    </row>
    <row r="56" customFormat="false" ht="15" hidden="false" customHeight="true" outlineLevel="0" collapsed="false">
      <c r="A56" s="13" t="s">
        <v>74</v>
      </c>
      <c r="B56" s="14" t="n">
        <v>40872</v>
      </c>
      <c r="C56" s="14" t="n">
        <v>40906</v>
      </c>
      <c r="D56" s="13" t="s">
        <v>12</v>
      </c>
      <c r="E56" s="15" t="n">
        <v>8438.2</v>
      </c>
      <c r="F56" s="15" t="n">
        <v>8027.4</v>
      </c>
      <c r="G56" s="16" t="n">
        <f aca="false">(F56/E56-1)</f>
        <v>-0.0486833684909105</v>
      </c>
      <c r="H56" s="16" t="n">
        <f aca="false">(F56/F55-1)</f>
        <v>-0.0525346709943937</v>
      </c>
    </row>
    <row r="57" customFormat="false" ht="15" hidden="false" customHeight="true" outlineLevel="0" collapsed="false">
      <c r="A57" s="7" t="s">
        <v>75</v>
      </c>
      <c r="B57" s="8" t="n">
        <v>40907</v>
      </c>
      <c r="C57" s="8" t="n">
        <v>40933</v>
      </c>
      <c r="D57" s="7" t="s">
        <v>35</v>
      </c>
      <c r="E57" s="9" t="n">
        <v>8073.2</v>
      </c>
      <c r="F57" s="9" t="n">
        <v>9856.6</v>
      </c>
      <c r="G57" s="10" t="n">
        <f aca="false">(F57/E57-1)</f>
        <v>0.220903730862607</v>
      </c>
      <c r="H57" s="10" t="n">
        <f aca="false">(F57/F56-1)</f>
        <v>0.227869546802203</v>
      </c>
    </row>
    <row r="58" customFormat="false" ht="15" hidden="false" customHeight="true" outlineLevel="0" collapsed="false">
      <c r="A58" s="13" t="s">
        <v>76</v>
      </c>
      <c r="B58" s="14" t="n">
        <v>40935</v>
      </c>
      <c r="C58" s="14" t="n">
        <v>40962</v>
      </c>
      <c r="D58" s="13" t="s">
        <v>12</v>
      </c>
      <c r="E58" s="15" t="n">
        <v>9969.25</v>
      </c>
      <c r="F58" s="15" t="n">
        <v>10713.35</v>
      </c>
      <c r="G58" s="16" t="n">
        <f aca="false">(F58/E58-1)</f>
        <v>0.0746395165132783</v>
      </c>
      <c r="H58" s="16" t="n">
        <f aca="false">(F58/F57-1)</f>
        <v>0.0869214536452732</v>
      </c>
    </row>
    <row r="59" customFormat="false" ht="15" hidden="false" customHeight="true" outlineLevel="0" collapsed="false">
      <c r="A59" s="7" t="s">
        <v>77</v>
      </c>
      <c r="B59" s="8" t="n">
        <v>40963</v>
      </c>
      <c r="C59" s="8" t="n">
        <v>40997</v>
      </c>
      <c r="D59" s="7" t="s">
        <v>12</v>
      </c>
      <c r="E59" s="9" t="n">
        <v>10691.75</v>
      </c>
      <c r="F59" s="9" t="n">
        <v>9927.65</v>
      </c>
      <c r="G59" s="10" t="n">
        <f aca="false">(F59/E59-1)</f>
        <v>-0.0714663174877827</v>
      </c>
      <c r="H59" s="10" t="n">
        <f aca="false">(F59/F58-1)</f>
        <v>-0.0733384048873602</v>
      </c>
    </row>
    <row r="60" customFormat="false" ht="15" hidden="false" customHeight="true" outlineLevel="0" collapsed="false">
      <c r="A60" s="13" t="s">
        <v>78</v>
      </c>
      <c r="B60" s="14" t="n">
        <v>40998</v>
      </c>
      <c r="C60" s="14" t="n">
        <v>41025</v>
      </c>
      <c r="D60" s="13" t="s">
        <v>12</v>
      </c>
      <c r="E60" s="15" t="n">
        <v>9984.8</v>
      </c>
      <c r="F60" s="15" t="n">
        <v>10128</v>
      </c>
      <c r="G60" s="16" t="n">
        <f aca="false">(F60/E60-1)</f>
        <v>0.0143417995352937</v>
      </c>
      <c r="H60" s="16" t="n">
        <f aca="false">(F60/F59-1)</f>
        <v>0.0201810096044885</v>
      </c>
    </row>
    <row r="61" customFormat="false" ht="15" hidden="false" customHeight="true" outlineLevel="0" collapsed="false">
      <c r="A61" s="7" t="s">
        <v>79</v>
      </c>
      <c r="B61" s="8" t="n">
        <v>41026</v>
      </c>
      <c r="C61" s="8" t="n">
        <v>41060</v>
      </c>
      <c r="D61" s="7" t="s">
        <v>12</v>
      </c>
      <c r="E61" s="9" t="n">
        <v>10146.1</v>
      </c>
      <c r="F61" s="9" t="n">
        <v>9441</v>
      </c>
      <c r="G61" s="10" t="n">
        <f aca="false">(F61/E61-1)</f>
        <v>-0.0694946826859582</v>
      </c>
      <c r="H61" s="10" t="n">
        <f aca="false">(F61/F60-1)</f>
        <v>-0.0678317535545023</v>
      </c>
    </row>
    <row r="62" customFormat="false" ht="15" hidden="false" customHeight="true" outlineLevel="0" collapsed="false">
      <c r="A62" s="13" t="s">
        <v>80</v>
      </c>
      <c r="B62" s="14" t="n">
        <v>41061</v>
      </c>
      <c r="C62" s="14" t="n">
        <v>41088</v>
      </c>
      <c r="D62" s="13" t="s">
        <v>12</v>
      </c>
      <c r="E62" s="15" t="n">
        <v>9434.45</v>
      </c>
      <c r="F62" s="15" t="n">
        <v>10003.85</v>
      </c>
      <c r="G62" s="16" t="n">
        <f aca="false">(F62/E62-1)</f>
        <v>0.0603532797354376</v>
      </c>
      <c r="H62" s="16" t="n">
        <f aca="false">(F62/F61-1)</f>
        <v>0.0596176252515623</v>
      </c>
    </row>
    <row r="63" customFormat="false" ht="15" hidden="false" customHeight="true" outlineLevel="0" collapsed="false">
      <c r="A63" s="7" t="s">
        <v>81</v>
      </c>
      <c r="B63" s="8" t="n">
        <v>41089</v>
      </c>
      <c r="C63" s="8" t="n">
        <v>41116</v>
      </c>
      <c r="D63" s="7" t="s">
        <v>12</v>
      </c>
      <c r="E63" s="9" t="n">
        <v>10105.45</v>
      </c>
      <c r="F63" s="9" t="n">
        <v>10083.8</v>
      </c>
      <c r="G63" s="10" t="n">
        <f aca="false">(F63/E63-1)</f>
        <v>-0.00214240830442991</v>
      </c>
      <c r="H63" s="10" t="n">
        <f aca="false">(F63/F62-1)</f>
        <v>0.00799192310960262</v>
      </c>
    </row>
    <row r="64" customFormat="false" ht="15" hidden="false" customHeight="true" outlineLevel="0" collapsed="false">
      <c r="A64" s="13" t="s">
        <v>82</v>
      </c>
      <c r="B64" s="14" t="n">
        <v>41117</v>
      </c>
      <c r="C64" s="14" t="n">
        <v>41151</v>
      </c>
      <c r="D64" s="13" t="s">
        <v>12</v>
      </c>
      <c r="E64" s="15" t="n">
        <v>10256.25</v>
      </c>
      <c r="F64" s="15" t="n">
        <v>10085.2</v>
      </c>
      <c r="G64" s="16" t="n">
        <f aca="false">(F64/E64-1)</f>
        <v>-0.016677635588056</v>
      </c>
      <c r="H64" s="16" t="n">
        <f aca="false">(F64/F63-1)</f>
        <v>0.000138836549713472</v>
      </c>
    </row>
    <row r="65" customFormat="false" ht="15" hidden="false" customHeight="true" outlineLevel="0" collapsed="false">
      <c r="A65" s="7" t="s">
        <v>83</v>
      </c>
      <c r="B65" s="8" t="n">
        <v>41152</v>
      </c>
      <c r="C65" s="8" t="n">
        <v>41179</v>
      </c>
      <c r="D65" s="7" t="s">
        <v>12</v>
      </c>
      <c r="E65" s="9" t="n">
        <v>10037</v>
      </c>
      <c r="F65" s="9" t="n">
        <v>11419.45</v>
      </c>
      <c r="G65" s="10" t="n">
        <f aca="false">(F65/E65-1)</f>
        <v>0.13773537909734</v>
      </c>
      <c r="H65" s="10" t="n">
        <f aca="false">(F65/F64-1)</f>
        <v>0.132297822551858</v>
      </c>
    </row>
    <row r="66" customFormat="false" ht="15" hidden="false" customHeight="true" outlineLevel="0" collapsed="false">
      <c r="A66" s="13" t="s">
        <v>84</v>
      </c>
      <c r="B66" s="14" t="n">
        <v>41180</v>
      </c>
      <c r="C66" s="14" t="n">
        <v>41207</v>
      </c>
      <c r="D66" s="13" t="s">
        <v>12</v>
      </c>
      <c r="E66" s="15" t="n">
        <v>11486.55</v>
      </c>
      <c r="F66" s="15" t="n">
        <v>11614.5</v>
      </c>
      <c r="G66" s="16" t="n">
        <f aca="false">(F66/E66-1)</f>
        <v>0.0111391148778355</v>
      </c>
      <c r="H66" s="16" t="n">
        <f aca="false">(F66/F65-1)</f>
        <v>0.0170805073799525</v>
      </c>
    </row>
    <row r="67" customFormat="false" ht="15" hidden="false" customHeight="true" outlineLevel="0" collapsed="false">
      <c r="A67" s="7" t="s">
        <v>85</v>
      </c>
      <c r="B67" s="8" t="n">
        <v>41211</v>
      </c>
      <c r="C67" s="8" t="n">
        <v>41242</v>
      </c>
      <c r="D67" s="7" t="s">
        <v>12</v>
      </c>
      <c r="E67" s="9" t="n">
        <v>11506.5</v>
      </c>
      <c r="F67" s="9" t="n">
        <v>11992.8</v>
      </c>
      <c r="G67" s="10" t="n">
        <f aca="false">(F67/E67-1)</f>
        <v>0.0422630687002998</v>
      </c>
      <c r="H67" s="10" t="n">
        <f aca="false">(F67/F66-1)</f>
        <v>0.0325713547720521</v>
      </c>
    </row>
    <row r="68" customFormat="false" ht="15" hidden="false" customHeight="true" outlineLevel="0" collapsed="false">
      <c r="A68" s="13" t="s">
        <v>86</v>
      </c>
      <c r="B68" s="14" t="n">
        <v>41243</v>
      </c>
      <c r="C68" s="14" t="n">
        <v>41270</v>
      </c>
      <c r="D68" s="13" t="s">
        <v>12</v>
      </c>
      <c r="E68" s="15" t="n">
        <v>12082.55</v>
      </c>
      <c r="F68" s="15" t="n">
        <v>12459.7</v>
      </c>
      <c r="G68" s="16" t="n">
        <f aca="false">(F68/E68-1)</f>
        <v>0.0312144373497318</v>
      </c>
      <c r="H68" s="16" t="n">
        <f aca="false">(F68/F67-1)</f>
        <v>0.0389316923487426</v>
      </c>
    </row>
    <row r="69" customFormat="false" ht="15" hidden="false" customHeight="true" outlineLevel="0" collapsed="false">
      <c r="A69" s="7" t="s">
        <v>87</v>
      </c>
      <c r="B69" s="8" t="n">
        <v>41271</v>
      </c>
      <c r="C69" s="8" t="n">
        <v>41305</v>
      </c>
      <c r="D69" s="7" t="s">
        <v>12</v>
      </c>
      <c r="E69" s="9" t="n">
        <v>12494.15</v>
      </c>
      <c r="F69" s="9" t="n">
        <v>12708.6</v>
      </c>
      <c r="G69" s="10" t="n">
        <f aca="false">(F69/E69-1)</f>
        <v>0.0171640327673352</v>
      </c>
      <c r="H69" s="10" t="n">
        <f aca="false">(F69/F68-1)</f>
        <v>0.0199764039262582</v>
      </c>
    </row>
    <row r="70" customFormat="false" ht="15" hidden="false" customHeight="true" outlineLevel="0" collapsed="false">
      <c r="A70" s="13" t="s">
        <v>88</v>
      </c>
      <c r="B70" s="14" t="n">
        <v>41306</v>
      </c>
      <c r="C70" s="14" t="n">
        <v>41333</v>
      </c>
      <c r="D70" s="13" t="s">
        <v>12</v>
      </c>
      <c r="E70" s="15" t="n">
        <v>12718.55</v>
      </c>
      <c r="F70" s="15" t="n">
        <v>11487.35</v>
      </c>
      <c r="G70" s="16" t="n">
        <f aca="false">(F70/E70-1)</f>
        <v>-0.096803487818973</v>
      </c>
      <c r="H70" s="16" t="n">
        <f aca="false">(F70/F69-1)</f>
        <v>-0.0960963442078593</v>
      </c>
    </row>
    <row r="71" customFormat="false" ht="15" hidden="false" customHeight="true" outlineLevel="0" collapsed="false">
      <c r="A71" s="7" t="s">
        <v>89</v>
      </c>
      <c r="B71" s="8" t="n">
        <v>41334</v>
      </c>
      <c r="C71" s="8" t="n">
        <v>41361</v>
      </c>
      <c r="D71" s="7" t="s">
        <v>12</v>
      </c>
      <c r="E71" s="9" t="n">
        <v>11533.05</v>
      </c>
      <c r="F71" s="9" t="n">
        <v>11361.85</v>
      </c>
      <c r="G71" s="10" t="n">
        <f aca="false">(F71/E71-1)</f>
        <v>-0.0148442953078326</v>
      </c>
      <c r="H71" s="10" t="n">
        <f aca="false">(F71/F70-1)</f>
        <v>-0.0109250610454108</v>
      </c>
    </row>
    <row r="72" customFormat="false" ht="15" hidden="false" customHeight="true" outlineLevel="0" collapsed="false">
      <c r="A72" s="13" t="s">
        <v>90</v>
      </c>
      <c r="B72" s="14" t="n">
        <v>41365</v>
      </c>
      <c r="C72" s="14" t="n">
        <v>41389</v>
      </c>
      <c r="D72" s="13" t="s">
        <v>12</v>
      </c>
      <c r="E72" s="15" t="n">
        <v>11414.95</v>
      </c>
      <c r="F72" s="15" t="n">
        <v>12726.85</v>
      </c>
      <c r="G72" s="16" t="n">
        <f aca="false">(F72/E72-1)</f>
        <v>0.114928230084232</v>
      </c>
      <c r="H72" s="16" t="n">
        <f aca="false">(F72/F71-1)</f>
        <v>0.120138885832853</v>
      </c>
    </row>
    <row r="73" customFormat="false" ht="15" hidden="false" customHeight="true" outlineLevel="0" collapsed="false">
      <c r="A73" s="7" t="s">
        <v>91</v>
      </c>
      <c r="B73" s="8" t="n">
        <v>41390</v>
      </c>
      <c r="C73" s="8" t="n">
        <v>41424</v>
      </c>
      <c r="D73" s="7" t="s">
        <v>12</v>
      </c>
      <c r="E73" s="9" t="n">
        <v>12679.3</v>
      </c>
      <c r="F73" s="9" t="n">
        <v>12805.9</v>
      </c>
      <c r="G73" s="10" t="n">
        <f aca="false">(F73/E73-1)</f>
        <v>0.00998477833949818</v>
      </c>
      <c r="H73" s="10" t="n">
        <f aca="false">(F73/F72-1)</f>
        <v>0.0062112777317247</v>
      </c>
    </row>
    <row r="74" customFormat="false" ht="15" hidden="false" customHeight="true" outlineLevel="0" collapsed="false">
      <c r="A74" s="13" t="s">
        <v>92</v>
      </c>
      <c r="B74" s="14" t="n">
        <v>41425</v>
      </c>
      <c r="C74" s="14" t="n">
        <v>41452</v>
      </c>
      <c r="D74" s="13" t="s">
        <v>12</v>
      </c>
      <c r="E74" s="15" t="n">
        <v>12734.3</v>
      </c>
      <c r="F74" s="15" t="n">
        <v>11235.75</v>
      </c>
      <c r="G74" s="16" t="n">
        <f aca="false">(F74/E74-1)</f>
        <v>-0.117678239086561</v>
      </c>
      <c r="H74" s="16" t="n">
        <f aca="false">(F74/F73-1)</f>
        <v>-0.122611452533598</v>
      </c>
    </row>
    <row r="75" customFormat="false" ht="15" hidden="false" customHeight="true" outlineLevel="0" collapsed="false">
      <c r="A75" s="7" t="s">
        <v>93</v>
      </c>
      <c r="B75" s="8" t="n">
        <v>41453</v>
      </c>
      <c r="C75" s="8" t="n">
        <v>41480</v>
      </c>
      <c r="D75" s="7" t="s">
        <v>12</v>
      </c>
      <c r="E75" s="9" t="n">
        <v>11367.2</v>
      </c>
      <c r="F75" s="9" t="n">
        <v>10614</v>
      </c>
      <c r="G75" s="10" t="n">
        <f aca="false">(F75/E75-1)</f>
        <v>-0.0662608206066578</v>
      </c>
      <c r="H75" s="10" t="n">
        <f aca="false">(F75/F74-1)</f>
        <v>-0.0553367598958681</v>
      </c>
    </row>
    <row r="76" customFormat="false" ht="15" hidden="false" customHeight="true" outlineLevel="0" collapsed="false">
      <c r="A76" s="13" t="s">
        <v>94</v>
      </c>
      <c r="B76" s="14" t="n">
        <v>41481</v>
      </c>
      <c r="C76" s="14" t="n">
        <v>41515</v>
      </c>
      <c r="D76" s="13" t="s">
        <v>12</v>
      </c>
      <c r="E76" s="15" t="n">
        <v>10701.25</v>
      </c>
      <c r="F76" s="15" t="n">
        <v>8904.6</v>
      </c>
      <c r="G76" s="16" t="n">
        <f aca="false">(F76/E76-1)</f>
        <v>-0.167891601448429</v>
      </c>
      <c r="H76" s="16" t="n">
        <f aca="false">(F76/F75-1)</f>
        <v>-0.161051441492369</v>
      </c>
    </row>
    <row r="77" customFormat="false" ht="15" hidden="false" customHeight="true" outlineLevel="0" collapsed="false">
      <c r="A77" s="7" t="s">
        <v>95</v>
      </c>
      <c r="B77" s="8" t="n">
        <v>41516</v>
      </c>
      <c r="C77" s="8" t="n">
        <v>41543</v>
      </c>
      <c r="D77" s="7" t="s">
        <v>12</v>
      </c>
      <c r="E77" s="9" t="n">
        <v>8891.9</v>
      </c>
      <c r="F77" s="9" t="n">
        <v>10098.25</v>
      </c>
      <c r="G77" s="10" t="n">
        <f aca="false">(F77/E77-1)</f>
        <v>0.135668417323632</v>
      </c>
      <c r="H77" s="10" t="n">
        <f aca="false">(F77/F76-1)</f>
        <v>0.134048693933473</v>
      </c>
    </row>
    <row r="78" customFormat="false" ht="15" hidden="false" customHeight="true" outlineLevel="0" collapsed="false">
      <c r="A78" s="13" t="s">
        <v>96</v>
      </c>
      <c r="B78" s="14" t="n">
        <v>41544</v>
      </c>
      <c r="C78" s="14" t="n">
        <v>41578</v>
      </c>
      <c r="D78" s="13" t="s">
        <v>12</v>
      </c>
      <c r="E78" s="15" t="n">
        <v>10131.65</v>
      </c>
      <c r="F78" s="15" t="n">
        <v>11473.15</v>
      </c>
      <c r="G78" s="16" t="n">
        <f aca="false">(F78/E78-1)</f>
        <v>0.132406863640177</v>
      </c>
      <c r="H78" s="16" t="n">
        <f aca="false">(F78/F77-1)</f>
        <v>0.136152303616963</v>
      </c>
    </row>
    <row r="79" customFormat="false" ht="15" hidden="false" customHeight="true" outlineLevel="0" collapsed="false">
      <c r="A79" s="7" t="s">
        <v>97</v>
      </c>
      <c r="B79" s="8" t="n">
        <v>41579</v>
      </c>
      <c r="C79" s="8" t="n">
        <v>41606</v>
      </c>
      <c r="D79" s="7" t="s">
        <v>12</v>
      </c>
      <c r="E79" s="9" t="n">
        <v>11472.2</v>
      </c>
      <c r="F79" s="9" t="n">
        <v>10906.75</v>
      </c>
      <c r="G79" s="10" t="n">
        <f aca="false">(F79/E79-1)</f>
        <v>-0.0492887153292307</v>
      </c>
      <c r="H79" s="10" t="n">
        <f aca="false">(F79/F78-1)</f>
        <v>-0.0493674361443892</v>
      </c>
    </row>
    <row r="80" customFormat="false" ht="15" hidden="false" customHeight="true" outlineLevel="0" collapsed="false">
      <c r="A80" s="13" t="s">
        <v>98</v>
      </c>
      <c r="B80" s="14" t="n">
        <v>41607</v>
      </c>
      <c r="C80" s="14" t="n">
        <v>41634</v>
      </c>
      <c r="D80" s="13" t="s">
        <v>12</v>
      </c>
      <c r="E80" s="15" t="n">
        <v>10941.6</v>
      </c>
      <c r="F80" s="15" t="n">
        <v>11385.75</v>
      </c>
      <c r="G80" s="16" t="n">
        <f aca="false">(F80/E80-1)</f>
        <v>0.0405927835051545</v>
      </c>
      <c r="H80" s="16" t="n">
        <f aca="false">(F80/F79-1)</f>
        <v>0.0439177573520986</v>
      </c>
    </row>
    <row r="81" customFormat="false" ht="15" hidden="false" customHeight="true" outlineLevel="0" collapsed="false">
      <c r="A81" s="7" t="s">
        <v>99</v>
      </c>
      <c r="B81" s="8" t="n">
        <v>41635</v>
      </c>
      <c r="C81" s="8" t="n">
        <v>41669</v>
      </c>
      <c r="D81" s="7" t="s">
        <v>12</v>
      </c>
      <c r="E81" s="9" t="n">
        <v>11409.25</v>
      </c>
      <c r="F81" s="9" t="n">
        <v>10153.15</v>
      </c>
      <c r="G81" s="10" t="n">
        <f aca="false">(F81/E81-1)</f>
        <v>-0.110094879155072</v>
      </c>
      <c r="H81" s="10" t="n">
        <f aca="false">(F81/F80-1)</f>
        <v>-0.108258129679643</v>
      </c>
    </row>
    <row r="82" customFormat="false" ht="15" hidden="false" customHeight="true" outlineLevel="0" collapsed="false">
      <c r="A82" s="13" t="s">
        <v>100</v>
      </c>
      <c r="B82" s="14" t="n">
        <v>41670</v>
      </c>
      <c r="C82" s="14" t="n">
        <v>41696</v>
      </c>
      <c r="D82" s="13" t="s">
        <v>35</v>
      </c>
      <c r="E82" s="15" t="n">
        <v>10193.55</v>
      </c>
      <c r="F82" s="15" t="n">
        <v>10730.4</v>
      </c>
      <c r="G82" s="16" t="n">
        <f aca="false">(F82/E82-1)</f>
        <v>0.0526656562237886</v>
      </c>
      <c r="H82" s="16" t="n">
        <f aca="false">(F82/F81-1)</f>
        <v>0.0568542767515501</v>
      </c>
    </row>
    <row r="83" customFormat="false" ht="15" hidden="false" customHeight="true" outlineLevel="0" collapsed="false">
      <c r="A83" s="7" t="s">
        <v>101</v>
      </c>
      <c r="B83" s="8" t="n">
        <v>41698</v>
      </c>
      <c r="C83" s="8" t="n">
        <v>41725</v>
      </c>
      <c r="D83" s="7" t="s">
        <v>12</v>
      </c>
      <c r="E83" s="9" t="n">
        <v>10793.6</v>
      </c>
      <c r="F83" s="9" t="n">
        <v>12604.95</v>
      </c>
      <c r="G83" s="10" t="n">
        <f aca="false">(F83/E83-1)</f>
        <v>0.167817039727246</v>
      </c>
      <c r="H83" s="10" t="n">
        <f aca="false">(F83/F82-1)</f>
        <v>0.17469525833147</v>
      </c>
    </row>
    <row r="84" customFormat="false" ht="15" hidden="false" customHeight="true" outlineLevel="0" collapsed="false">
      <c r="A84" s="13" t="s">
        <v>102</v>
      </c>
      <c r="B84" s="14" t="n">
        <v>41726</v>
      </c>
      <c r="C84" s="14" t="n">
        <v>41752</v>
      </c>
      <c r="D84" s="13" t="s">
        <v>35</v>
      </c>
      <c r="E84" s="15" t="n">
        <v>12693.25</v>
      </c>
      <c r="F84" s="15" t="n">
        <v>13122.1</v>
      </c>
      <c r="G84" s="16" t="n">
        <f aca="false">(F84/E84-1)</f>
        <v>0.0337856734878774</v>
      </c>
      <c r="H84" s="16" t="n">
        <f aca="false">(F84/F83-1)</f>
        <v>0.041027532834323</v>
      </c>
    </row>
    <row r="85" customFormat="false" ht="15" hidden="false" customHeight="true" outlineLevel="0" collapsed="false">
      <c r="A85" s="7" t="s">
        <v>103</v>
      </c>
      <c r="B85" s="8" t="n">
        <v>41754</v>
      </c>
      <c r="C85" s="8" t="n">
        <v>41788</v>
      </c>
      <c r="D85" s="7" t="s">
        <v>12</v>
      </c>
      <c r="E85" s="9" t="n">
        <v>13134.5</v>
      </c>
      <c r="F85" s="9" t="n">
        <v>15030.3</v>
      </c>
      <c r="G85" s="10" t="n">
        <f aca="false">(F85/E85-1)</f>
        <v>0.144337431954014</v>
      </c>
      <c r="H85" s="10" t="n">
        <f aca="false">(F85/F84-1)</f>
        <v>0.145418797296164</v>
      </c>
    </row>
    <row r="86" customFormat="false" ht="15" hidden="false" customHeight="true" outlineLevel="0" collapsed="false">
      <c r="A86" s="13" t="s">
        <v>104</v>
      </c>
      <c r="B86" s="14" t="n">
        <v>41789</v>
      </c>
      <c r="C86" s="14" t="n">
        <v>41816</v>
      </c>
      <c r="D86" s="13" t="s">
        <v>12</v>
      </c>
      <c r="E86" s="15" t="n">
        <v>15093.1</v>
      </c>
      <c r="F86" s="15" t="n">
        <v>15050</v>
      </c>
      <c r="G86" s="16" t="n">
        <f aca="false">(F86/E86-1)</f>
        <v>-0.00285560951693165</v>
      </c>
      <c r="H86" s="16" t="n">
        <f aca="false">(F86/F85-1)</f>
        <v>0.00131068574812221</v>
      </c>
    </row>
    <row r="87" customFormat="false" ht="15" hidden="false" customHeight="true" outlineLevel="0" collapsed="false">
      <c r="A87" s="7" t="s">
        <v>105</v>
      </c>
      <c r="B87" s="8" t="n">
        <v>41817</v>
      </c>
      <c r="C87" s="8" t="n">
        <v>41851</v>
      </c>
      <c r="D87" s="7" t="s">
        <v>12</v>
      </c>
      <c r="E87" s="9" t="n">
        <v>15092.25</v>
      </c>
      <c r="F87" s="9" t="n">
        <v>15267.6</v>
      </c>
      <c r="G87" s="10" t="n">
        <f aca="false">(F87/E87-1)</f>
        <v>0.011618545942454</v>
      </c>
      <c r="H87" s="10" t="n">
        <f aca="false">(F87/F86-1)</f>
        <v>0.0144584717607974</v>
      </c>
    </row>
    <row r="88" customFormat="false" ht="15" hidden="false" customHeight="true" outlineLevel="0" collapsed="false">
      <c r="A88" s="13" t="s">
        <v>106</v>
      </c>
      <c r="B88" s="14" t="n">
        <v>41852</v>
      </c>
      <c r="C88" s="14" t="n">
        <v>41879</v>
      </c>
      <c r="D88" s="13" t="s">
        <v>12</v>
      </c>
      <c r="E88" s="15" t="n">
        <v>15137.6</v>
      </c>
      <c r="F88" s="15" t="n">
        <v>15740.4</v>
      </c>
      <c r="G88" s="16" t="n">
        <f aca="false">(F88/E88-1)</f>
        <v>0.039821371947997</v>
      </c>
      <c r="H88" s="16" t="n">
        <f aca="false">(F88/F87-1)</f>
        <v>0.0309675391024129</v>
      </c>
    </row>
    <row r="89" customFormat="false" ht="15" hidden="false" customHeight="true" outlineLevel="0" collapsed="false">
      <c r="A89" s="7" t="s">
        <v>107</v>
      </c>
      <c r="B89" s="8" t="n">
        <v>41883</v>
      </c>
      <c r="C89" s="8" t="n">
        <v>41907</v>
      </c>
      <c r="D89" s="7" t="s">
        <v>12</v>
      </c>
      <c r="E89" s="9" t="n">
        <v>15790.25</v>
      </c>
      <c r="F89" s="9" t="n">
        <v>15299.05</v>
      </c>
      <c r="G89" s="10" t="n">
        <f aca="false">(F89/E89-1)</f>
        <v>-0.03110780386631</v>
      </c>
      <c r="H89" s="10" t="n">
        <f aca="false">(F89/F88-1)</f>
        <v>-0.0280393128510076</v>
      </c>
    </row>
    <row r="90" customFormat="false" ht="15" hidden="false" customHeight="true" outlineLevel="0" collapsed="false">
      <c r="A90" s="13" t="s">
        <v>108</v>
      </c>
      <c r="B90" s="14" t="n">
        <v>41908</v>
      </c>
      <c r="C90" s="14" t="n">
        <v>41942</v>
      </c>
      <c r="D90" s="13" t="s">
        <v>12</v>
      </c>
      <c r="E90" s="15" t="n">
        <v>15262.9</v>
      </c>
      <c r="F90" s="15" t="n">
        <v>16760.05</v>
      </c>
      <c r="G90" s="16" t="n">
        <f aca="false">(F90/E90-1)</f>
        <v>0.0980907953272314</v>
      </c>
      <c r="H90" s="16" t="n">
        <f aca="false">(F90/F89-1)</f>
        <v>0.0954961255764246</v>
      </c>
    </row>
    <row r="91" customFormat="false" ht="15" hidden="false" customHeight="true" outlineLevel="0" collapsed="false">
      <c r="A91" s="7" t="s">
        <v>109</v>
      </c>
      <c r="B91" s="8" t="n">
        <v>41943</v>
      </c>
      <c r="C91" s="8" t="n">
        <v>41970</v>
      </c>
      <c r="D91" s="7" t="s">
        <v>12</v>
      </c>
      <c r="E91" s="9" t="n">
        <v>16812.45</v>
      </c>
      <c r="F91" s="9" t="n">
        <v>18022.5</v>
      </c>
      <c r="G91" s="10" t="n">
        <f aca="false">(F91/E91-1)</f>
        <v>0.0719734482481731</v>
      </c>
      <c r="H91" s="10" t="n">
        <f aca="false">(F91/F90-1)</f>
        <v>0.0753249542811627</v>
      </c>
    </row>
    <row r="92" customFormat="false" ht="15" hidden="false" customHeight="true" outlineLevel="0" collapsed="false">
      <c r="A92" s="13" t="s">
        <v>110</v>
      </c>
      <c r="B92" s="14" t="n">
        <v>41971</v>
      </c>
      <c r="C92" s="14" t="n">
        <v>41997</v>
      </c>
      <c r="D92" s="13" t="s">
        <v>35</v>
      </c>
      <c r="E92" s="15" t="n">
        <v>18082.4</v>
      </c>
      <c r="F92" s="15" t="n">
        <v>18535.35</v>
      </c>
      <c r="G92" s="16" t="n">
        <f aca="false">(F92/E92-1)</f>
        <v>0.0250492191302039</v>
      </c>
      <c r="H92" s="16" t="n">
        <f aca="false">(F92/F91-1)</f>
        <v>0.0284560965459841</v>
      </c>
    </row>
    <row r="93" customFormat="false" ht="15" hidden="false" customHeight="true" outlineLevel="0" collapsed="false">
      <c r="A93" s="7" t="s">
        <v>111</v>
      </c>
      <c r="B93" s="8" t="n">
        <v>41999</v>
      </c>
      <c r="C93" s="8" t="n">
        <v>42033</v>
      </c>
      <c r="D93" s="7" t="s">
        <v>12</v>
      </c>
      <c r="E93" s="9" t="n">
        <v>18602.55</v>
      </c>
      <c r="F93" s="9" t="n">
        <v>20528.6</v>
      </c>
      <c r="G93" s="10" t="n">
        <f aca="false">(F93/E93-1)</f>
        <v>0.103536880696464</v>
      </c>
      <c r="H93" s="10" t="n">
        <f aca="false">(F93/F92-1)</f>
        <v>0.107537758930908</v>
      </c>
    </row>
    <row r="94" customFormat="false" ht="15" hidden="false" customHeight="true" outlineLevel="0" collapsed="false">
      <c r="A94" s="13" t="s">
        <v>112</v>
      </c>
      <c r="B94" s="14" t="n">
        <v>42034</v>
      </c>
      <c r="C94" s="14" t="n">
        <v>42061</v>
      </c>
      <c r="D94" s="13" t="s">
        <v>12</v>
      </c>
      <c r="E94" s="15" t="n">
        <v>20600.65</v>
      </c>
      <c r="F94" s="15" t="n">
        <v>18538.1</v>
      </c>
      <c r="G94" s="16" t="n">
        <f aca="false">(F94/E94-1)</f>
        <v>-0.100120627261761</v>
      </c>
      <c r="H94" s="16" t="n">
        <f aca="false">(F94/F93-1)</f>
        <v>-0.0969622867609091</v>
      </c>
    </row>
    <row r="95" customFormat="false" ht="15" hidden="false" customHeight="true" outlineLevel="0" collapsed="false">
      <c r="A95" s="7" t="s">
        <v>113</v>
      </c>
      <c r="B95" s="8" t="n">
        <v>42062</v>
      </c>
      <c r="C95" s="8" t="n">
        <v>42089</v>
      </c>
      <c r="D95" s="7" t="s">
        <v>12</v>
      </c>
      <c r="E95" s="9" t="n">
        <v>18659.65</v>
      </c>
      <c r="F95" s="9" t="n">
        <v>17831.65</v>
      </c>
      <c r="G95" s="10" t="n">
        <f aca="false">(F95/E95-1)</f>
        <v>-0.0443738226601249</v>
      </c>
      <c r="H95" s="10" t="n">
        <f aca="false">(F95/F94-1)</f>
        <v>-0.0381080045959401</v>
      </c>
    </row>
    <row r="96" customFormat="false" ht="15" hidden="false" customHeight="true" outlineLevel="0" collapsed="false">
      <c r="A96" s="13" t="s">
        <v>114</v>
      </c>
      <c r="B96" s="14" t="n">
        <v>42090</v>
      </c>
      <c r="C96" s="14" t="n">
        <v>42124</v>
      </c>
      <c r="D96" s="13" t="s">
        <v>12</v>
      </c>
      <c r="E96" s="15" t="n">
        <v>18013.65</v>
      </c>
      <c r="F96" s="15" t="n">
        <v>18338.1</v>
      </c>
      <c r="G96" s="16" t="n">
        <f aca="false">(F96/E96-1)</f>
        <v>0.0180113413994385</v>
      </c>
      <c r="H96" s="16" t="n">
        <f aca="false">(F96/F95-1)</f>
        <v>0.028401746333065</v>
      </c>
    </row>
    <row r="97" customFormat="false" ht="15" hidden="false" customHeight="true" outlineLevel="0" collapsed="false">
      <c r="A97" s="7" t="s">
        <v>115</v>
      </c>
      <c r="B97" s="8" t="n">
        <v>42128</v>
      </c>
      <c r="C97" s="8" t="n">
        <v>42152</v>
      </c>
      <c r="D97" s="7" t="s">
        <v>12</v>
      </c>
      <c r="E97" s="9" t="n">
        <v>18417.5</v>
      </c>
      <c r="F97" s="9" t="n">
        <v>18449.2</v>
      </c>
      <c r="G97" s="10" t="n">
        <f aca="false">(F97/E97-1)</f>
        <v>0.00172118908646679</v>
      </c>
      <c r="H97" s="10" t="n">
        <f aca="false">(F97/F96-1)</f>
        <v>0.00605842480954966</v>
      </c>
    </row>
    <row r="98" customFormat="false" ht="15" hidden="false" customHeight="true" outlineLevel="0" collapsed="false">
      <c r="A98" s="13" t="s">
        <v>116</v>
      </c>
      <c r="B98" s="14" t="n">
        <v>42153</v>
      </c>
      <c r="C98" s="14" t="n">
        <v>42180</v>
      </c>
      <c r="D98" s="13" t="s">
        <v>12</v>
      </c>
      <c r="E98" s="15" t="n">
        <v>18486.4</v>
      </c>
      <c r="F98" s="15" t="n">
        <v>18492.9</v>
      </c>
      <c r="G98" s="16" t="n">
        <f aca="false">(F98/E98-1)</f>
        <v>0.000351609832092814</v>
      </c>
      <c r="H98" s="16" t="n">
        <f aca="false">(F98/F97-1)</f>
        <v>0.00236866639203881</v>
      </c>
    </row>
    <row r="99" customFormat="false" ht="15" hidden="false" customHeight="true" outlineLevel="0" collapsed="false">
      <c r="A99" s="7" t="s">
        <v>117</v>
      </c>
      <c r="B99" s="8" t="n">
        <v>42181</v>
      </c>
      <c r="C99" s="8" t="n">
        <v>42215</v>
      </c>
      <c r="D99" s="7" t="s">
        <v>12</v>
      </c>
      <c r="E99" s="9" t="n">
        <v>18461.6</v>
      </c>
      <c r="F99" s="9" t="n">
        <v>18440.4</v>
      </c>
      <c r="G99" s="10" t="n">
        <f aca="false">(F99/E99-1)</f>
        <v>-0.0011483295055682</v>
      </c>
      <c r="H99" s="10" t="n">
        <f aca="false">(F99/F98-1)</f>
        <v>-0.00283892737212665</v>
      </c>
    </row>
    <row r="100" customFormat="false" ht="15" hidden="false" customHeight="true" outlineLevel="0" collapsed="false">
      <c r="A100" s="13" t="s">
        <v>118</v>
      </c>
      <c r="B100" s="14" t="n">
        <v>42216</v>
      </c>
      <c r="C100" s="14" t="n">
        <v>42243</v>
      </c>
      <c r="D100" s="13" t="s">
        <v>12</v>
      </c>
      <c r="E100" s="15" t="n">
        <v>18489.85</v>
      </c>
      <c r="F100" s="15" t="n">
        <v>17214.4</v>
      </c>
      <c r="G100" s="16" t="n">
        <f aca="false">(F100/E100-1)</f>
        <v>-0.0689810896248481</v>
      </c>
      <c r="H100" s="16" t="n">
        <f aca="false">(F100/F99-1)</f>
        <v>-0.0664844580377866</v>
      </c>
    </row>
    <row r="101" customFormat="false" ht="15" hidden="false" customHeight="true" outlineLevel="0" collapsed="false">
      <c r="A101" s="7" t="s">
        <v>119</v>
      </c>
      <c r="B101" s="8" t="n">
        <v>42244</v>
      </c>
      <c r="C101" s="8" t="n">
        <v>42271</v>
      </c>
      <c r="D101" s="7" t="s">
        <v>12</v>
      </c>
      <c r="E101" s="9" t="n">
        <v>17425.3</v>
      </c>
      <c r="F101" s="9" t="n">
        <v>17196.65</v>
      </c>
      <c r="G101" s="10" t="n">
        <f aca="false">(F101/E101-1)</f>
        <v>-0.0131217253074551</v>
      </c>
      <c r="H101" s="10" t="n">
        <f aca="false">(F101/F100-1)</f>
        <v>-0.00103111348638352</v>
      </c>
    </row>
    <row r="102" customFormat="false" ht="15" hidden="false" customHeight="true" outlineLevel="0" collapsed="false">
      <c r="A102" s="13" t="s">
        <v>120</v>
      </c>
      <c r="B102" s="14" t="n">
        <v>42275</v>
      </c>
      <c r="C102" s="14" t="n">
        <v>42306</v>
      </c>
      <c r="D102" s="13" t="s">
        <v>12</v>
      </c>
      <c r="E102" s="15" t="n">
        <v>17286.25</v>
      </c>
      <c r="F102" s="15" t="n">
        <v>17212.2</v>
      </c>
      <c r="G102" s="16" t="n">
        <f aca="false">(F102/E102-1)</f>
        <v>-0.00428375153662586</v>
      </c>
      <c r="H102" s="16" t="n">
        <f aca="false">(F102/F101-1)</f>
        <v>0.00090424588509963</v>
      </c>
    </row>
    <row r="103" customFormat="false" ht="15" hidden="false" customHeight="true" outlineLevel="0" collapsed="false">
      <c r="A103" s="7" t="s">
        <v>121</v>
      </c>
      <c r="B103" s="8" t="n">
        <v>42307</v>
      </c>
      <c r="C103" s="8" t="n">
        <v>42334</v>
      </c>
      <c r="D103" s="7" t="s">
        <v>12</v>
      </c>
      <c r="E103" s="9" t="n">
        <v>17249.9</v>
      </c>
      <c r="F103" s="9" t="n">
        <v>17036.55</v>
      </c>
      <c r="G103" s="10" t="n">
        <f aca="false">(F103/E103-1)</f>
        <v>-0.0123681876416676</v>
      </c>
      <c r="H103" s="10" t="n">
        <f aca="false">(F103/F102-1)</f>
        <v>-0.010204970892739</v>
      </c>
    </row>
    <row r="104" customFormat="false" ht="15" hidden="false" customHeight="true" outlineLevel="0" collapsed="false">
      <c r="A104" s="13" t="s">
        <v>122</v>
      </c>
      <c r="B104" s="14" t="n">
        <v>42335</v>
      </c>
      <c r="C104" s="14" t="n">
        <v>42369</v>
      </c>
      <c r="D104" s="13" t="s">
        <v>12</v>
      </c>
      <c r="E104" s="15" t="n">
        <v>17095.2</v>
      </c>
      <c r="F104" s="15" t="n">
        <v>16922.2</v>
      </c>
      <c r="G104" s="16" t="n">
        <f aca="false">(F104/E104-1)</f>
        <v>-0.0101197997098601</v>
      </c>
      <c r="H104" s="16" t="n">
        <f aca="false">(F104/F103-1)</f>
        <v>-0.00671203970287404</v>
      </c>
    </row>
    <row r="105" customFormat="false" ht="15" hidden="false" customHeight="true" outlineLevel="0" collapsed="false">
      <c r="A105" s="7" t="s">
        <v>123</v>
      </c>
      <c r="B105" s="8" t="n">
        <v>42370</v>
      </c>
      <c r="C105" s="8" t="n">
        <v>42397</v>
      </c>
      <c r="D105" s="7" t="s">
        <v>12</v>
      </c>
      <c r="E105" s="9" t="n">
        <v>16932.5</v>
      </c>
      <c r="F105" s="9" t="n">
        <v>15381.45</v>
      </c>
      <c r="G105" s="10" t="n">
        <f aca="false">(F105/E105-1)</f>
        <v>-0.0916019489148088</v>
      </c>
      <c r="H105" s="10" t="n">
        <f aca="false">(F105/F104-1)</f>
        <v>-0.0910490361773292</v>
      </c>
    </row>
    <row r="106" customFormat="false" ht="15" hidden="false" customHeight="true" outlineLevel="0" collapsed="false">
      <c r="A106" s="13" t="s">
        <v>124</v>
      </c>
      <c r="B106" s="14" t="n">
        <v>42398</v>
      </c>
      <c r="C106" s="14" t="n">
        <v>42425</v>
      </c>
      <c r="D106" s="13" t="s">
        <v>12</v>
      </c>
      <c r="E106" s="15" t="n">
        <v>15140.15</v>
      </c>
      <c r="F106" s="15" t="n">
        <v>13555.7</v>
      </c>
      <c r="G106" s="16" t="n">
        <f aca="false">(F106/E106-1)</f>
        <v>-0.104652199614931</v>
      </c>
      <c r="H106" s="16" t="n">
        <f aca="false">(F106/F105-1)</f>
        <v>-0.11869817214892</v>
      </c>
    </row>
    <row r="107" customFormat="false" ht="15" hidden="false" customHeight="true" outlineLevel="0" collapsed="false">
      <c r="A107" s="7" t="s">
        <v>125</v>
      </c>
      <c r="B107" s="8" t="n">
        <v>42426</v>
      </c>
      <c r="C107" s="8" t="n">
        <v>42460</v>
      </c>
      <c r="D107" s="7" t="s">
        <v>12</v>
      </c>
      <c r="E107" s="9" t="n">
        <v>13715.1</v>
      </c>
      <c r="F107" s="9" t="n">
        <v>16141.65</v>
      </c>
      <c r="G107" s="10" t="n">
        <f aca="false">(F107/E107-1)</f>
        <v>0.176925432552442</v>
      </c>
      <c r="H107" s="10" t="n">
        <f aca="false">(F107/F106-1)</f>
        <v>0.19076477053933</v>
      </c>
    </row>
    <row r="108" customFormat="false" ht="15" hidden="false" customHeight="true" outlineLevel="0" collapsed="false">
      <c r="A108" s="13" t="s">
        <v>126</v>
      </c>
      <c r="B108" s="14" t="n">
        <v>42461</v>
      </c>
      <c r="C108" s="14" t="n">
        <v>42488</v>
      </c>
      <c r="D108" s="13" t="s">
        <v>12</v>
      </c>
      <c r="E108" s="15" t="n">
        <v>16099.65</v>
      </c>
      <c r="F108" s="15" t="n">
        <v>16716.9</v>
      </c>
      <c r="G108" s="16" t="n">
        <f aca="false">(F108/E108-1)</f>
        <v>0.0383393427807437</v>
      </c>
      <c r="H108" s="16" t="n">
        <f aca="false">(F108/F107-1)</f>
        <v>0.0356376206893347</v>
      </c>
    </row>
    <row r="109" customFormat="false" ht="15" hidden="false" customHeight="true" outlineLevel="0" collapsed="false">
      <c r="A109" s="7" t="s">
        <v>127</v>
      </c>
      <c r="B109" s="8" t="n">
        <v>42489</v>
      </c>
      <c r="C109" s="8" t="n">
        <v>42516</v>
      </c>
      <c r="D109" s="7" t="s">
        <v>12</v>
      </c>
      <c r="E109" s="9" t="n">
        <v>16712.95</v>
      </c>
      <c r="F109" s="9" t="n">
        <v>17359.3</v>
      </c>
      <c r="G109" s="10" t="n">
        <f aca="false">(F109/E109-1)</f>
        <v>0.0386736034033488</v>
      </c>
      <c r="H109" s="10" t="n">
        <f aca="false">(F109/F108-1)</f>
        <v>0.0384281774730959</v>
      </c>
    </row>
    <row r="110" customFormat="false" ht="15" hidden="false" customHeight="true" outlineLevel="0" collapsed="false">
      <c r="A110" s="13" t="s">
        <v>128</v>
      </c>
      <c r="B110" s="14" t="n">
        <v>42517</v>
      </c>
      <c r="C110" s="14" t="n">
        <v>42551</v>
      </c>
      <c r="D110" s="13" t="s">
        <v>12</v>
      </c>
      <c r="E110" s="15" t="n">
        <v>17348.35</v>
      </c>
      <c r="F110" s="15" t="n">
        <v>17935.4</v>
      </c>
      <c r="G110" s="16" t="n">
        <f aca="false">(F110/E110-1)</f>
        <v>0.0338389529840015</v>
      </c>
      <c r="H110" s="16" t="n">
        <f aca="false">(F110/F109-1)</f>
        <v>0.0331868220492764</v>
      </c>
    </row>
    <row r="111" customFormat="false" ht="15" hidden="false" customHeight="true" outlineLevel="0" collapsed="false">
      <c r="A111" s="7" t="s">
        <v>129</v>
      </c>
      <c r="B111" s="8" t="n">
        <v>42552</v>
      </c>
      <c r="C111" s="8" t="n">
        <v>42579</v>
      </c>
      <c r="D111" s="7" t="s">
        <v>12</v>
      </c>
      <c r="E111" s="9" t="n">
        <v>18019.7</v>
      </c>
      <c r="F111" s="9" t="n">
        <v>19076.55</v>
      </c>
      <c r="G111" s="10" t="n">
        <f aca="false">(F111/E111-1)</f>
        <v>0.0586497000505002</v>
      </c>
      <c r="H111" s="10" t="n">
        <f aca="false">(F111/F110-1)</f>
        <v>0.0636255673138038</v>
      </c>
    </row>
    <row r="112" customFormat="false" ht="15" hidden="false" customHeight="true" outlineLevel="0" collapsed="false">
      <c r="A112" s="13" t="s">
        <v>130</v>
      </c>
      <c r="B112" s="14" t="n">
        <v>42580</v>
      </c>
      <c r="C112" s="14" t="n">
        <v>42607</v>
      </c>
      <c r="D112" s="13" t="s">
        <v>12</v>
      </c>
      <c r="E112" s="15" t="n">
        <v>19047.05</v>
      </c>
      <c r="F112" s="15" t="n">
        <v>19304.25</v>
      </c>
      <c r="G112" s="16" t="n">
        <f aca="false">(F112/E112-1)</f>
        <v>0.013503403414177</v>
      </c>
      <c r="H112" s="16" t="n">
        <f aca="false">(F112/F111-1)</f>
        <v>0.0119361205249378</v>
      </c>
    </row>
    <row r="113" customFormat="false" ht="15" hidden="false" customHeight="true" outlineLevel="0" collapsed="false">
      <c r="A113" s="7" t="s">
        <v>131</v>
      </c>
      <c r="B113" s="8" t="n">
        <v>42608</v>
      </c>
      <c r="C113" s="8" t="n">
        <v>42642</v>
      </c>
      <c r="D113" s="7" t="s">
        <v>12</v>
      </c>
      <c r="E113" s="9" t="n">
        <v>19336.45</v>
      </c>
      <c r="F113" s="9" t="n">
        <v>19183.65</v>
      </c>
      <c r="G113" s="10" t="n">
        <f aca="false">(F113/E113-1)</f>
        <v>-0.0079021743908525</v>
      </c>
      <c r="H113" s="10" t="n">
        <f aca="false">(F113/F112-1)</f>
        <v>-0.00624732895605884</v>
      </c>
    </row>
    <row r="114" customFormat="false" ht="15" hidden="false" customHeight="true" outlineLevel="0" collapsed="false">
      <c r="A114" s="13" t="s">
        <v>132</v>
      </c>
      <c r="B114" s="14" t="n">
        <v>42643</v>
      </c>
      <c r="C114" s="14" t="n">
        <v>42670</v>
      </c>
      <c r="D114" s="13" t="s">
        <v>12</v>
      </c>
      <c r="E114" s="15" t="n">
        <v>19116</v>
      </c>
      <c r="F114" s="15" t="n">
        <v>19514.6</v>
      </c>
      <c r="G114" s="16" t="n">
        <f aca="false">(F114/E114-1)</f>
        <v>0.0208516426030549</v>
      </c>
      <c r="H114" s="16" t="n">
        <f aca="false">(F114/F113-1)</f>
        <v>0.0172516700419365</v>
      </c>
    </row>
    <row r="115" customFormat="false" ht="15" hidden="false" customHeight="true" outlineLevel="0" collapsed="false">
      <c r="A115" s="7" t="s">
        <v>133</v>
      </c>
      <c r="B115" s="8" t="n">
        <v>42671</v>
      </c>
      <c r="C115" s="8" t="n">
        <v>42698</v>
      </c>
      <c r="D115" s="7" t="s">
        <v>12</v>
      </c>
      <c r="E115" s="9" t="n">
        <v>19507.85</v>
      </c>
      <c r="F115" s="9" t="n">
        <v>18256.1</v>
      </c>
      <c r="G115" s="10" t="n">
        <f aca="false">(F115/E115-1)</f>
        <v>-0.0641664765722517</v>
      </c>
      <c r="H115" s="10" t="n">
        <f aca="false">(F115/F114-1)</f>
        <v>-0.0644901765857359</v>
      </c>
    </row>
    <row r="116" customFormat="false" ht="15" hidden="false" customHeight="true" outlineLevel="0" collapsed="false">
      <c r="A116" s="13" t="s">
        <v>134</v>
      </c>
      <c r="B116" s="14" t="n">
        <v>42699</v>
      </c>
      <c r="C116" s="14" t="n">
        <v>42733</v>
      </c>
      <c r="D116" s="13" t="s">
        <v>12</v>
      </c>
      <c r="E116" s="15" t="n">
        <v>18377.55</v>
      </c>
      <c r="F116" s="15" t="n">
        <v>18033.15</v>
      </c>
      <c r="G116" s="16" t="n">
        <f aca="false">(F116/E116-1)</f>
        <v>-0.0187402564542062</v>
      </c>
      <c r="H116" s="16" t="n">
        <f aca="false">(F116/F115-1)</f>
        <v>-0.0122123564178547</v>
      </c>
    </row>
    <row r="117" customFormat="false" ht="15" hidden="false" customHeight="true" outlineLevel="0" collapsed="false">
      <c r="A117" s="7" t="s">
        <v>135</v>
      </c>
      <c r="B117" s="8" t="n">
        <v>42734</v>
      </c>
      <c r="C117" s="8" t="n">
        <v>42760</v>
      </c>
      <c r="D117" s="7" t="s">
        <v>35</v>
      </c>
      <c r="E117" s="9" t="n">
        <v>18026.35</v>
      </c>
      <c r="F117" s="9" t="n">
        <v>19473.2</v>
      </c>
      <c r="G117" s="10" t="n">
        <f aca="false">(F117/E117-1)</f>
        <v>0.080263059354778</v>
      </c>
      <c r="H117" s="10" t="n">
        <f aca="false">(F117/F116-1)</f>
        <v>0.0798557101781996</v>
      </c>
    </row>
    <row r="118" customFormat="false" ht="15" hidden="false" customHeight="true" outlineLevel="0" collapsed="false">
      <c r="A118" s="13" t="s">
        <v>136</v>
      </c>
      <c r="B118" s="14" t="n">
        <v>42762</v>
      </c>
      <c r="C118" s="14" t="n">
        <v>42789</v>
      </c>
      <c r="D118" s="13" t="s">
        <v>12</v>
      </c>
      <c r="E118" s="15" t="n">
        <v>19588.4</v>
      </c>
      <c r="F118" s="15" t="n">
        <v>20876.65</v>
      </c>
      <c r="G118" s="16" t="n">
        <f aca="false">(F118/E118-1)</f>
        <v>0.0657659635294359</v>
      </c>
      <c r="H118" s="16" t="n">
        <f aca="false">(F118/F117-1)</f>
        <v>0.0720708460859028</v>
      </c>
    </row>
    <row r="119" customFormat="false" ht="15" hidden="false" customHeight="true" outlineLevel="0" collapsed="false">
      <c r="A119" s="7" t="s">
        <v>137</v>
      </c>
      <c r="B119" s="8" t="n">
        <v>42793</v>
      </c>
      <c r="C119" s="8" t="n">
        <v>42824</v>
      </c>
      <c r="D119" s="7" t="s">
        <v>12</v>
      </c>
      <c r="E119" s="9" t="n">
        <v>20853.45</v>
      </c>
      <c r="F119" s="9" t="n">
        <v>21620.7</v>
      </c>
      <c r="G119" s="10" t="n">
        <f aca="false">(F119/E119-1)</f>
        <v>0.0367924731878897</v>
      </c>
      <c r="H119" s="10" t="n">
        <f aca="false">(F119/F118-1)</f>
        <v>0.0356402966951115</v>
      </c>
    </row>
    <row r="120" customFormat="false" ht="15" hidden="false" customHeight="true" outlineLevel="0" collapsed="false">
      <c r="A120" s="13" t="s">
        <v>138</v>
      </c>
      <c r="B120" s="14" t="n">
        <v>42825</v>
      </c>
      <c r="C120" s="14" t="n">
        <v>42852</v>
      </c>
      <c r="D120" s="13" t="s">
        <v>12</v>
      </c>
      <c r="E120" s="15" t="n">
        <v>21551.85</v>
      </c>
      <c r="F120" s="15" t="n">
        <v>22326.3</v>
      </c>
      <c r="G120" s="16" t="n">
        <f aca="false">(F120/E120-1)</f>
        <v>0.0359342701438623</v>
      </c>
      <c r="H120" s="16" t="n">
        <f aca="false">(F120/F119-1)</f>
        <v>0.0326353910835449</v>
      </c>
    </row>
    <row r="121" customFormat="false" ht="15" hidden="false" customHeight="true" outlineLevel="0" collapsed="false">
      <c r="A121" s="7" t="s">
        <v>139</v>
      </c>
      <c r="B121" s="8" t="n">
        <v>42853</v>
      </c>
      <c r="C121" s="8" t="n">
        <v>42880</v>
      </c>
      <c r="D121" s="7" t="s">
        <v>12</v>
      </c>
      <c r="E121" s="9" t="n">
        <v>22296.8</v>
      </c>
      <c r="F121" s="9" t="n">
        <v>23190.8</v>
      </c>
      <c r="G121" s="10" t="n">
        <f aca="false">(F121/E121-1)</f>
        <v>0.0400954397043523</v>
      </c>
      <c r="H121" s="10" t="n">
        <f aca="false">(F121/F120-1)</f>
        <v>0.038721149496334</v>
      </c>
    </row>
    <row r="122" customFormat="false" ht="15" hidden="false" customHeight="true" outlineLevel="0" collapsed="false">
      <c r="A122" s="13" t="s">
        <v>140</v>
      </c>
      <c r="B122" s="14" t="n">
        <v>42881</v>
      </c>
      <c r="C122" s="14" t="n">
        <v>42915</v>
      </c>
      <c r="D122" s="13" t="s">
        <v>12</v>
      </c>
      <c r="E122" s="15" t="n">
        <v>23151.4</v>
      </c>
      <c r="F122" s="15" t="n">
        <v>23227.3</v>
      </c>
      <c r="G122" s="16" t="n">
        <f aca="false">(F122/E122-1)</f>
        <v>0.00327841944763585</v>
      </c>
      <c r="H122" s="16" t="n">
        <f aca="false">(F122/F121-1)</f>
        <v>0.0015738999948256</v>
      </c>
    </row>
    <row r="123" customFormat="false" ht="15" hidden="false" customHeight="true" outlineLevel="0" collapsed="false">
      <c r="A123" s="7" t="s">
        <v>141</v>
      </c>
      <c r="B123" s="8" t="n">
        <v>42916</v>
      </c>
      <c r="C123" s="8" t="n">
        <v>42943</v>
      </c>
      <c r="D123" s="7" t="s">
        <v>12</v>
      </c>
      <c r="E123" s="9" t="n">
        <v>23137.25</v>
      </c>
      <c r="F123" s="9" t="n">
        <v>24922.4</v>
      </c>
      <c r="G123" s="10" t="n">
        <f aca="false">(F123/E123-1)</f>
        <v>0.0771548044819501</v>
      </c>
      <c r="H123" s="10" t="n">
        <f aca="false">(F123/F122-1)</f>
        <v>0.0729787792812768</v>
      </c>
    </row>
    <row r="124" customFormat="false" ht="15" hidden="false" customHeight="true" outlineLevel="0" collapsed="false">
      <c r="A124" s="13" t="s">
        <v>142</v>
      </c>
      <c r="B124" s="14" t="n">
        <v>42944</v>
      </c>
      <c r="C124" s="14" t="n">
        <v>42978</v>
      </c>
      <c r="D124" s="13" t="s">
        <v>12</v>
      </c>
      <c r="E124" s="15" t="n">
        <v>24744.55</v>
      </c>
      <c r="F124" s="15" t="n">
        <v>24318.4</v>
      </c>
      <c r="G124" s="16" t="n">
        <f aca="false">(F124/E124-1)</f>
        <v>-0.0172219741316774</v>
      </c>
      <c r="H124" s="16" t="n">
        <f aca="false">(F124/F123-1)</f>
        <v>-0.0242352261419446</v>
      </c>
    </row>
    <row r="125" customFormat="false" ht="15" hidden="false" customHeight="true" outlineLevel="0" collapsed="false">
      <c r="A125" s="7" t="s">
        <v>143</v>
      </c>
      <c r="B125" s="8" t="n">
        <v>42979</v>
      </c>
      <c r="C125" s="8" t="n">
        <v>43006</v>
      </c>
      <c r="D125" s="7" t="s">
        <v>12</v>
      </c>
      <c r="E125" s="9" t="n">
        <v>24389.2</v>
      </c>
      <c r="F125" s="9" t="n">
        <v>24008.15</v>
      </c>
      <c r="G125" s="10" t="n">
        <f aca="false">(F125/E125-1)</f>
        <v>-0.0156237186951601</v>
      </c>
      <c r="H125" s="10" t="n">
        <f aca="false">(F125/F124-1)</f>
        <v>-0.0127578294624646</v>
      </c>
    </row>
    <row r="126" customFormat="false" ht="15" hidden="false" customHeight="true" outlineLevel="0" collapsed="false">
      <c r="A126" s="13" t="s">
        <v>144</v>
      </c>
      <c r="B126" s="14" t="n">
        <v>43007</v>
      </c>
      <c r="C126" s="14" t="n">
        <v>43034</v>
      </c>
      <c r="D126" s="13" t="s">
        <v>12</v>
      </c>
      <c r="E126" s="15" t="n">
        <v>24114</v>
      </c>
      <c r="F126" s="15" t="n">
        <v>25022.2</v>
      </c>
      <c r="G126" s="16" t="n">
        <f aca="false">(F126/E126-1)</f>
        <v>0.0376627685162148</v>
      </c>
      <c r="H126" s="16" t="n">
        <f aca="false">(F126/F125-1)</f>
        <v>0.0422377401007574</v>
      </c>
    </row>
    <row r="127" customFormat="false" ht="15" hidden="false" customHeight="true" outlineLevel="0" collapsed="false">
      <c r="A127" s="7" t="s">
        <v>145</v>
      </c>
      <c r="B127" s="8" t="n">
        <v>43035</v>
      </c>
      <c r="C127" s="8" t="n">
        <v>43069</v>
      </c>
      <c r="D127" s="7" t="s">
        <v>12</v>
      </c>
      <c r="E127" s="9" t="n">
        <v>24887.6</v>
      </c>
      <c r="F127" s="9" t="n">
        <v>25332.4</v>
      </c>
      <c r="G127" s="10" t="n">
        <f aca="false">(F127/E127-1)</f>
        <v>0.017872354104052</v>
      </c>
      <c r="H127" s="10" t="n">
        <f aca="false">(F127/F126-1)</f>
        <v>0.0123969914715734</v>
      </c>
    </row>
    <row r="128" customFormat="false" ht="15" hidden="false" customHeight="true" outlineLevel="0" collapsed="false">
      <c r="A128" s="13" t="s">
        <v>146</v>
      </c>
      <c r="B128" s="14" t="n">
        <v>43070</v>
      </c>
      <c r="C128" s="14" t="n">
        <v>43097</v>
      </c>
      <c r="D128" s="13" t="s">
        <v>12</v>
      </c>
      <c r="E128" s="15" t="n">
        <v>25409.55</v>
      </c>
      <c r="F128" s="15" t="n">
        <v>25490</v>
      </c>
      <c r="G128" s="16" t="n">
        <f aca="false">(F128/E128-1)</f>
        <v>0.00316613241871666</v>
      </c>
      <c r="H128" s="16" t="n">
        <f aca="false">(F128/F127-1)</f>
        <v>0.00622128183669912</v>
      </c>
    </row>
    <row r="129" customFormat="false" ht="15" hidden="false" customHeight="true" outlineLevel="0" collapsed="false">
      <c r="A129" s="7" t="s">
        <v>147</v>
      </c>
      <c r="B129" s="8" t="n">
        <v>43098</v>
      </c>
      <c r="C129" s="8" t="n">
        <v>43125</v>
      </c>
      <c r="D129" s="7" t="s">
        <v>12</v>
      </c>
      <c r="E129" s="9" t="n">
        <v>25484.85</v>
      </c>
      <c r="F129" s="9" t="n">
        <v>27445.65</v>
      </c>
      <c r="G129" s="10" t="n">
        <f aca="false">(F129/E129-1)</f>
        <v>0.0769398289572041</v>
      </c>
      <c r="H129" s="10" t="n">
        <f aca="false">(F129/F128-1)</f>
        <v>0.0767222440172617</v>
      </c>
    </row>
    <row r="130" customFormat="false" ht="15" hidden="false" customHeight="true" outlineLevel="0" collapsed="false">
      <c r="A130" s="13" t="s">
        <v>148</v>
      </c>
      <c r="B130" s="14" t="n">
        <v>43129</v>
      </c>
      <c r="C130" s="14" t="n">
        <v>43153</v>
      </c>
      <c r="D130" s="13" t="s">
        <v>12</v>
      </c>
      <c r="E130" s="15" t="n">
        <v>27446.1</v>
      </c>
      <c r="F130" s="15" t="n">
        <v>24955.2</v>
      </c>
      <c r="G130" s="16" t="n">
        <f aca="false">(F130/E130-1)</f>
        <v>-0.0907560637030397</v>
      </c>
      <c r="H130" s="16" t="n">
        <f aca="false">(F130/F129-1)</f>
        <v>-0.0907411557022698</v>
      </c>
    </row>
    <row r="131" customFormat="false" ht="15" hidden="false" customHeight="true" outlineLevel="0" collapsed="false">
      <c r="A131" s="7" t="s">
        <v>149</v>
      </c>
      <c r="B131" s="8" t="n">
        <v>43154</v>
      </c>
      <c r="C131" s="8" t="n">
        <v>43187</v>
      </c>
      <c r="D131" s="7" t="s">
        <v>35</v>
      </c>
      <c r="E131" s="9" t="n">
        <v>25002.25</v>
      </c>
      <c r="F131" s="9" t="n">
        <v>24263.35</v>
      </c>
      <c r="G131" s="10" t="n">
        <f aca="false">(F131/E131-1)</f>
        <v>-0.0295533401993822</v>
      </c>
      <c r="H131" s="10" t="n">
        <f aca="false">(F131/F130-1)</f>
        <v>-0.0277236808360583</v>
      </c>
    </row>
    <row r="132" customFormat="false" ht="15" hidden="false" customHeight="true" outlineLevel="0" collapsed="false">
      <c r="A132" s="13" t="s">
        <v>150</v>
      </c>
      <c r="B132" s="14" t="n">
        <v>43192</v>
      </c>
      <c r="C132" s="14" t="n">
        <v>43216</v>
      </c>
      <c r="D132" s="13" t="s">
        <v>12</v>
      </c>
      <c r="E132" s="15" t="n">
        <v>24235.65</v>
      </c>
      <c r="F132" s="15" t="n">
        <v>25010.9</v>
      </c>
      <c r="G132" s="16" t="n">
        <f aca="false">(F132/E132-1)</f>
        <v>0.0319880011470706</v>
      </c>
      <c r="H132" s="16" t="n">
        <f aca="false">(F132/F131-1)</f>
        <v>0.0308098428287933</v>
      </c>
    </row>
    <row r="133" customFormat="false" ht="15" hidden="false" customHeight="true" outlineLevel="0" collapsed="false">
      <c r="A133" s="7" t="s">
        <v>151</v>
      </c>
      <c r="B133" s="8" t="n">
        <v>43217</v>
      </c>
      <c r="C133" s="8" t="n">
        <v>43251</v>
      </c>
      <c r="D133" s="7" t="s">
        <v>12</v>
      </c>
      <c r="E133" s="9" t="n">
        <v>25030.15</v>
      </c>
      <c r="F133" s="9" t="n">
        <v>26956.2</v>
      </c>
      <c r="G133" s="10" t="n">
        <f aca="false">(F133/E133-1)</f>
        <v>0.0769491992656854</v>
      </c>
      <c r="H133" s="10" t="n">
        <f aca="false">(F133/F132-1)</f>
        <v>0.0777780887533035</v>
      </c>
    </row>
    <row r="134" customFormat="false" ht="15" hidden="false" customHeight="true" outlineLevel="0" collapsed="false">
      <c r="A134" s="13" t="s">
        <v>152</v>
      </c>
      <c r="B134" s="14" t="n">
        <v>43252</v>
      </c>
      <c r="C134" s="14" t="n">
        <v>43279</v>
      </c>
      <c r="D134" s="13" t="s">
        <v>12</v>
      </c>
      <c r="E134" s="15" t="n">
        <v>26913.4</v>
      </c>
      <c r="F134" s="15" t="n">
        <v>26324.6</v>
      </c>
      <c r="G134" s="16" t="n">
        <f aca="false">(F134/E134-1)</f>
        <v>-0.0218775777122178</v>
      </c>
      <c r="H134" s="16" t="n">
        <f aca="false">(F134/F133-1)</f>
        <v>-0.0234306022362203</v>
      </c>
    </row>
    <row r="135" customFormat="false" ht="15" hidden="false" customHeight="true" outlineLevel="0" collapsed="false">
      <c r="A135" s="7" t="s">
        <v>153</v>
      </c>
      <c r="B135" s="8" t="n">
        <v>43280</v>
      </c>
      <c r="C135" s="8" t="n">
        <v>43307</v>
      </c>
      <c r="D135" s="7" t="s">
        <v>12</v>
      </c>
      <c r="E135" s="9" t="n">
        <v>26312.7</v>
      </c>
      <c r="F135" s="9" t="n">
        <v>27406.4</v>
      </c>
      <c r="G135" s="10" t="n">
        <f aca="false">(F135/E135-1)</f>
        <v>0.0415654797873271</v>
      </c>
      <c r="H135" s="10" t="n">
        <f aca="false">(F135/F134-1)</f>
        <v>0.0410946415140212</v>
      </c>
    </row>
    <row r="136" customFormat="false" ht="15" hidden="false" customHeight="true" outlineLevel="0" collapsed="false">
      <c r="A136" s="13" t="s">
        <v>154</v>
      </c>
      <c r="B136" s="14" t="n">
        <v>43308</v>
      </c>
      <c r="C136" s="14" t="n">
        <v>43342</v>
      </c>
      <c r="D136" s="13" t="s">
        <v>12</v>
      </c>
      <c r="E136" s="15" t="n">
        <v>27497.8</v>
      </c>
      <c r="F136" s="15" t="n">
        <v>28103.25</v>
      </c>
      <c r="G136" s="16" t="n">
        <f aca="false">(F136/E136-1)</f>
        <v>0.0220181250863705</v>
      </c>
      <c r="H136" s="16" t="n">
        <f aca="false">(F136/F135-1)</f>
        <v>0.0254265427053535</v>
      </c>
    </row>
    <row r="137" customFormat="false" ht="15" hidden="false" customHeight="true" outlineLevel="0" collapsed="false">
      <c r="A137" s="7" t="s">
        <v>155</v>
      </c>
      <c r="B137" s="8" t="n">
        <v>43343</v>
      </c>
      <c r="C137" s="8" t="n">
        <v>43370</v>
      </c>
      <c r="D137" s="7" t="s">
        <v>12</v>
      </c>
      <c r="E137" s="9" t="n">
        <v>27998</v>
      </c>
      <c r="F137" s="9" t="n">
        <v>25042.15</v>
      </c>
      <c r="G137" s="10" t="n">
        <f aca="false">(F137/E137-1)</f>
        <v>-0.105573612400886</v>
      </c>
      <c r="H137" s="10" t="n">
        <f aca="false">(F137/F136-1)</f>
        <v>-0.108923345164705</v>
      </c>
    </row>
    <row r="138" customFormat="false" ht="15" hidden="false" customHeight="true" outlineLevel="0" collapsed="false">
      <c r="A138" s="13" t="s">
        <v>156</v>
      </c>
      <c r="B138" s="14" t="n">
        <v>43371</v>
      </c>
      <c r="C138" s="14" t="n">
        <v>43398</v>
      </c>
      <c r="D138" s="13" t="s">
        <v>12</v>
      </c>
      <c r="E138" s="15" t="n">
        <v>25135.8</v>
      </c>
      <c r="F138" s="15" t="n">
        <v>24817.45</v>
      </c>
      <c r="G138" s="16" t="n">
        <f aca="false">(F138/E138-1)</f>
        <v>-0.0126652026193715</v>
      </c>
      <c r="H138" s="16" t="n">
        <f aca="false">(F138/F137-1)</f>
        <v>-0.00897287173824934</v>
      </c>
    </row>
    <row r="139" customFormat="false" ht="15" hidden="false" customHeight="true" outlineLevel="0" collapsed="false">
      <c r="A139" s="7" t="s">
        <v>157</v>
      </c>
      <c r="B139" s="8" t="n">
        <v>43399</v>
      </c>
      <c r="C139" s="8" t="n">
        <v>43433</v>
      </c>
      <c r="D139" s="7" t="s">
        <v>12</v>
      </c>
      <c r="E139" s="9" t="n">
        <v>24771.85</v>
      </c>
      <c r="F139" s="9" t="n">
        <v>26939.6</v>
      </c>
      <c r="G139" s="10" t="n">
        <f aca="false">(F139/E139-1)</f>
        <v>0.0875086035156842</v>
      </c>
      <c r="H139" s="10" t="n">
        <f aca="false">(F139/F138-1)</f>
        <v>0.0855103969182973</v>
      </c>
    </row>
    <row r="140" customFormat="false" ht="15" hidden="false" customHeight="true" outlineLevel="0" collapsed="false">
      <c r="A140" s="13" t="s">
        <v>158</v>
      </c>
      <c r="B140" s="14" t="n">
        <v>43434</v>
      </c>
      <c r="C140" s="14" t="n">
        <v>43461</v>
      </c>
      <c r="D140" s="13" t="s">
        <v>12</v>
      </c>
      <c r="E140" s="15" t="n">
        <v>27009.3</v>
      </c>
      <c r="F140" s="15" t="n">
        <v>26878.55</v>
      </c>
      <c r="G140" s="16" t="n">
        <f aca="false">(F140/E140-1)</f>
        <v>-0.00484092516281431</v>
      </c>
      <c r="H140" s="16" t="n">
        <f aca="false">(F140/F139-1)</f>
        <v>-0.00226618064113793</v>
      </c>
    </row>
    <row r="141" customFormat="false" ht="15" hidden="false" customHeight="true" outlineLevel="0" collapsed="false">
      <c r="A141" s="7" t="s">
        <v>159</v>
      </c>
      <c r="B141" s="8" t="n">
        <v>43462</v>
      </c>
      <c r="C141" s="8" t="n">
        <v>43496</v>
      </c>
      <c r="D141" s="7" t="s">
        <v>12</v>
      </c>
      <c r="E141" s="9" t="n">
        <v>27048.4</v>
      </c>
      <c r="F141" s="9" t="n">
        <v>27295.45</v>
      </c>
      <c r="G141" s="10" t="n">
        <f aca="false">(F141/E141-1)</f>
        <v>0.00913362712766741</v>
      </c>
      <c r="H141" s="10" t="n">
        <f aca="false">(F141/F140-1)</f>
        <v>0.0155105093094681</v>
      </c>
    </row>
    <row r="142" customFormat="false" ht="15" hidden="false" customHeight="true" outlineLevel="0" collapsed="false">
      <c r="A142" s="13" t="s">
        <v>160</v>
      </c>
      <c r="B142" s="14" t="n">
        <v>43497</v>
      </c>
      <c r="C142" s="14" t="n">
        <v>43524</v>
      </c>
      <c r="D142" s="13" t="s">
        <v>12</v>
      </c>
      <c r="E142" s="15" t="n">
        <v>27334.55</v>
      </c>
      <c r="F142" s="15" t="n">
        <v>26789.9</v>
      </c>
      <c r="G142" s="16" t="n">
        <f aca="false">(F142/E142-1)</f>
        <v>-0.0199253325919029</v>
      </c>
      <c r="H142" s="16" t="n">
        <f aca="false">(F142/F141-1)</f>
        <v>-0.0185214019186347</v>
      </c>
    </row>
    <row r="143" customFormat="false" ht="15" hidden="false" customHeight="true" outlineLevel="0" collapsed="false">
      <c r="A143" s="7" t="s">
        <v>161</v>
      </c>
      <c r="B143" s="8" t="n">
        <v>43525</v>
      </c>
      <c r="C143" s="8" t="n">
        <v>43552</v>
      </c>
      <c r="D143" s="7" t="s">
        <v>12</v>
      </c>
      <c r="E143" s="9" t="n">
        <v>26941</v>
      </c>
      <c r="F143" s="9" t="n">
        <v>30420.55</v>
      </c>
      <c r="G143" s="10" t="n">
        <f aca="false">(F143/E143-1)</f>
        <v>0.129154448609925</v>
      </c>
      <c r="H143" s="10" t="n">
        <f aca="false">(F143/F142-1)</f>
        <v>0.135523088925304</v>
      </c>
    </row>
    <row r="144" customFormat="false" ht="15" hidden="false" customHeight="true" outlineLevel="0" collapsed="false">
      <c r="A144" s="13" t="s">
        <v>162</v>
      </c>
      <c r="B144" s="14" t="n">
        <v>43556</v>
      </c>
      <c r="C144" s="14" t="n">
        <v>43580</v>
      </c>
      <c r="D144" s="13" t="s">
        <v>12</v>
      </c>
      <c r="E144" s="15" t="n">
        <v>30537.6</v>
      </c>
      <c r="F144" s="15" t="n">
        <v>29561.35</v>
      </c>
      <c r="G144" s="16" t="n">
        <f aca="false">(F144/E144-1)</f>
        <v>-0.0319687860211674</v>
      </c>
      <c r="H144" s="16" t="n">
        <f aca="false">(F144/F143-1)</f>
        <v>-0.0282440652782412</v>
      </c>
    </row>
    <row r="145" customFormat="false" ht="15" hidden="false" customHeight="true" outlineLevel="0" collapsed="false">
      <c r="A145" s="7" t="s">
        <v>163</v>
      </c>
      <c r="B145" s="8" t="n">
        <v>43581</v>
      </c>
      <c r="C145" s="8" t="n">
        <v>43615</v>
      </c>
      <c r="D145" s="7" t="s">
        <v>12</v>
      </c>
      <c r="E145" s="9" t="n">
        <v>29764.85</v>
      </c>
      <c r="F145" s="9" t="n">
        <v>31537.1</v>
      </c>
      <c r="G145" s="10" t="n">
        <f aca="false">(F145/E145-1)</f>
        <v>0.0595417077526008</v>
      </c>
      <c r="H145" s="10" t="n">
        <f aca="false">(F145/F144-1)</f>
        <v>0.066835580919004</v>
      </c>
    </row>
    <row r="146" customFormat="false" ht="15" hidden="false" customHeight="true" outlineLevel="0" collapsed="false">
      <c r="A146" s="13" t="s">
        <v>164</v>
      </c>
      <c r="B146" s="14" t="n">
        <v>43616</v>
      </c>
      <c r="C146" s="14" t="n">
        <v>43643</v>
      </c>
      <c r="D146" s="13" t="s">
        <v>12</v>
      </c>
      <c r="E146" s="15" t="n">
        <v>31678.9</v>
      </c>
      <c r="F146" s="15" t="n">
        <v>31269.5</v>
      </c>
      <c r="G146" s="16" t="n">
        <f aca="false">(F146/E146-1)</f>
        <v>-0.0129234285281371</v>
      </c>
      <c r="H146" s="16" t="n">
        <f aca="false">(F146/F145-1)</f>
        <v>-0.00848524436298825</v>
      </c>
    </row>
    <row r="147" customFormat="false" ht="15" hidden="false" customHeight="true" outlineLevel="0" collapsed="false">
      <c r="A147" s="7" t="s">
        <v>165</v>
      </c>
      <c r="B147" s="8" t="n">
        <v>43644</v>
      </c>
      <c r="C147" s="8" t="n">
        <v>43671</v>
      </c>
      <c r="D147" s="7" t="s">
        <v>12</v>
      </c>
      <c r="E147" s="9" t="n">
        <v>31281</v>
      </c>
      <c r="F147" s="9" t="n">
        <v>29043.05</v>
      </c>
      <c r="G147" s="10" t="n">
        <f aca="false">(F147/E147-1)</f>
        <v>-0.0715434289185128</v>
      </c>
      <c r="H147" s="10" t="n">
        <f aca="false">(F147/F146-1)</f>
        <v>-0.0712019699707382</v>
      </c>
    </row>
    <row r="148" customFormat="false" ht="15" hidden="false" customHeight="true" outlineLevel="0" collapsed="false">
      <c r="A148" s="13" t="s">
        <v>166</v>
      </c>
      <c r="B148" s="14" t="n">
        <v>43672</v>
      </c>
      <c r="C148" s="14" t="n">
        <v>43706</v>
      </c>
      <c r="D148" s="13" t="s">
        <v>12</v>
      </c>
      <c r="E148" s="15" t="n">
        <v>29062.5</v>
      </c>
      <c r="F148" s="15" t="n">
        <v>27305.2</v>
      </c>
      <c r="G148" s="16" t="n">
        <f aca="false">(F148/E148-1)</f>
        <v>-0.0604662365591397</v>
      </c>
      <c r="H148" s="16" t="n">
        <f aca="false">(F148/F147-1)</f>
        <v>-0.0598370350221481</v>
      </c>
    </row>
    <row r="149" customFormat="false" ht="15" hidden="false" customHeight="true" outlineLevel="0" collapsed="false">
      <c r="A149" s="7" t="s">
        <v>167</v>
      </c>
      <c r="B149" s="8" t="n">
        <v>43707</v>
      </c>
      <c r="C149" s="8" t="n">
        <v>43734</v>
      </c>
      <c r="D149" s="7" t="s">
        <v>12</v>
      </c>
      <c r="E149" s="9" t="n">
        <v>27407.9</v>
      </c>
      <c r="F149" s="9" t="n">
        <v>30002.6</v>
      </c>
      <c r="G149" s="10" t="n">
        <f aca="false">(F149/E149-1)</f>
        <v>0.0946697849889995</v>
      </c>
      <c r="H149" s="10" t="n">
        <f aca="false">(F149/F148-1)</f>
        <v>0.0987870442260082</v>
      </c>
    </row>
    <row r="150" customFormat="false" ht="15" hidden="false" customHeight="true" outlineLevel="0" collapsed="false">
      <c r="A150" s="13" t="s">
        <v>168</v>
      </c>
      <c r="B150" s="14" t="n">
        <v>43735</v>
      </c>
      <c r="C150" s="14" t="n">
        <v>43769</v>
      </c>
      <c r="D150" s="13" t="s">
        <v>12</v>
      </c>
      <c r="E150" s="15" t="n">
        <v>29974.95</v>
      </c>
      <c r="F150" s="15" t="n">
        <v>30066.25</v>
      </c>
      <c r="G150" s="16" t="n">
        <f aca="false">(F150/E150-1)</f>
        <v>0.00304587664032807</v>
      </c>
      <c r="H150" s="16" t="n">
        <f aca="false">(F150/F149-1)</f>
        <v>0.00212148280482372</v>
      </c>
    </row>
    <row r="151" customFormat="false" ht="15" hidden="false" customHeight="true" outlineLevel="0" collapsed="false">
      <c r="A151" s="7" t="s">
        <v>169</v>
      </c>
      <c r="B151" s="8" t="n">
        <v>43770</v>
      </c>
      <c r="C151" s="8" t="n">
        <v>43797</v>
      </c>
      <c r="D151" s="7" t="s">
        <v>12</v>
      </c>
      <c r="E151" s="9" t="n">
        <v>30196.15</v>
      </c>
      <c r="F151" s="9" t="n">
        <v>32122.95</v>
      </c>
      <c r="G151" s="10" t="n">
        <f aca="false">(F151/E151-1)</f>
        <v>0.0638094591529053</v>
      </c>
      <c r="H151" s="10" t="n">
        <f aca="false">(F151/F150-1)</f>
        <v>0.0684056042905252</v>
      </c>
    </row>
    <row r="152" customFormat="false" ht="15" hidden="false" customHeight="true" outlineLevel="0" collapsed="false">
      <c r="A152" s="13" t="s">
        <v>170</v>
      </c>
      <c r="B152" s="14" t="n">
        <v>43798</v>
      </c>
      <c r="C152" s="14" t="n">
        <v>43825</v>
      </c>
      <c r="D152" s="13" t="s">
        <v>12</v>
      </c>
      <c r="E152" s="15" t="n">
        <v>32074.15</v>
      </c>
      <c r="F152" s="15" t="n">
        <v>31997.7</v>
      </c>
      <c r="G152" s="16" t="n">
        <f aca="false">(F152/E152-1)</f>
        <v>-0.00238353939231439</v>
      </c>
      <c r="H152" s="16" t="n">
        <f aca="false">(F152/F151-1)</f>
        <v>-0.0038990814978076</v>
      </c>
    </row>
    <row r="153" customFormat="false" ht="15" hidden="false" customHeight="true" outlineLevel="0" collapsed="false">
      <c r="A153" s="7" t="s">
        <v>171</v>
      </c>
      <c r="B153" s="8" t="n">
        <v>43826</v>
      </c>
      <c r="C153" s="8" t="n">
        <v>43860</v>
      </c>
      <c r="D153" s="7" t="s">
        <v>12</v>
      </c>
      <c r="E153" s="9" t="n">
        <v>32142.5</v>
      </c>
      <c r="F153" s="9" t="n">
        <v>30647.4</v>
      </c>
      <c r="G153" s="10" t="n">
        <f aca="false">(F153/E153-1)</f>
        <v>-0.0465147390526561</v>
      </c>
      <c r="H153" s="10" t="n">
        <f aca="false">(F153/F152-1)</f>
        <v>-0.042199908118396</v>
      </c>
    </row>
    <row r="154" customFormat="false" ht="15" hidden="false" customHeight="true" outlineLevel="0" collapsed="false">
      <c r="A154" s="13" t="s">
        <v>172</v>
      </c>
      <c r="B154" s="14" t="n">
        <v>43861</v>
      </c>
      <c r="C154" s="14" t="n">
        <v>43888</v>
      </c>
      <c r="D154" s="13" t="s">
        <v>12</v>
      </c>
      <c r="E154" s="15" t="n">
        <v>30950.5</v>
      </c>
      <c r="F154" s="15" t="n">
        <v>30187</v>
      </c>
      <c r="G154" s="16" t="n">
        <f aca="false">(F154/E154-1)</f>
        <v>-0.0246684221579619</v>
      </c>
      <c r="H154" s="16" t="n">
        <f aca="false">(F154/F153-1)</f>
        <v>-0.015022481515561</v>
      </c>
    </row>
    <row r="155" customFormat="false" ht="15" hidden="false" customHeight="true" outlineLevel="0" collapsed="false">
      <c r="A155" s="7" t="s">
        <v>173</v>
      </c>
      <c r="B155" s="8" t="n">
        <v>43889</v>
      </c>
      <c r="C155" s="8" t="n">
        <v>43916</v>
      </c>
      <c r="D155" s="7" t="s">
        <v>12</v>
      </c>
      <c r="E155" s="9" t="n">
        <v>29501.55</v>
      </c>
      <c r="F155" s="9" t="n">
        <v>19613.9</v>
      </c>
      <c r="G155" s="10" t="n">
        <f aca="false">(F155/E155-1)</f>
        <v>-0.335156966328888</v>
      </c>
      <c r="H155" s="10" t="n">
        <f aca="false">(F155/F154-1)</f>
        <v>-0.350253420346507</v>
      </c>
    </row>
    <row r="156" customFormat="false" ht="15" hidden="false" customHeight="true" outlineLevel="0" collapsed="false">
      <c r="A156" s="13" t="s">
        <v>174</v>
      </c>
      <c r="B156" s="14" t="n">
        <v>43917</v>
      </c>
      <c r="C156" s="14" t="n">
        <v>43951</v>
      </c>
      <c r="D156" s="13" t="s">
        <v>12</v>
      </c>
      <c r="E156" s="15" t="n">
        <v>20801.6</v>
      </c>
      <c r="F156" s="15" t="n">
        <v>21534.5</v>
      </c>
      <c r="G156" s="16" t="n">
        <f aca="false">(F156/E156-1)</f>
        <v>0.0352328667025614</v>
      </c>
      <c r="H156" s="16" t="n">
        <f aca="false">(F156/F155-1)</f>
        <v>0.0979203524031427</v>
      </c>
    </row>
    <row r="157" customFormat="false" ht="15" hidden="false" customHeight="true" outlineLevel="0" collapsed="false">
      <c r="A157" s="7" t="s">
        <v>175</v>
      </c>
      <c r="B157" s="8" t="n">
        <v>43955</v>
      </c>
      <c r="C157" s="8" t="n">
        <v>43979</v>
      </c>
      <c r="D157" s="7" t="s">
        <v>12</v>
      </c>
      <c r="E157" s="9" t="n">
        <v>20514.75</v>
      </c>
      <c r="F157" s="9" t="n">
        <v>19169.8</v>
      </c>
      <c r="G157" s="10" t="n">
        <f aca="false">(F157/E157-1)</f>
        <v>-0.0655601457487905</v>
      </c>
      <c r="H157" s="10" t="n">
        <f aca="false">(F157/F156-1)</f>
        <v>-0.109809840024147</v>
      </c>
    </row>
    <row r="158" customFormat="false" ht="15" hidden="false" customHeight="true" outlineLevel="0" collapsed="false">
      <c r="A158" s="13" t="s">
        <v>176</v>
      </c>
      <c r="B158" s="14" t="n">
        <v>43980</v>
      </c>
      <c r="C158" s="14" t="n">
        <v>44007</v>
      </c>
      <c r="D158" s="13" t="s">
        <v>12</v>
      </c>
      <c r="E158" s="15" t="n">
        <v>18962</v>
      </c>
      <c r="F158" s="15" t="n">
        <v>21506.15</v>
      </c>
      <c r="G158" s="16" t="n">
        <f aca="false">(F158/E158-1)</f>
        <v>0.134170973526</v>
      </c>
      <c r="H158" s="16" t="n">
        <f aca="false">(F158/F157-1)</f>
        <v>0.12187659756492</v>
      </c>
    </row>
    <row r="159" customFormat="false" ht="15" hidden="false" customHeight="true" outlineLevel="0" collapsed="false">
      <c r="A159" s="7" t="s">
        <v>177</v>
      </c>
      <c r="B159" s="8" t="n">
        <v>44008</v>
      </c>
      <c r="C159" s="8" t="n">
        <v>44042</v>
      </c>
      <c r="D159" s="7" t="s">
        <v>12</v>
      </c>
      <c r="E159" s="9" t="n">
        <v>21735.05</v>
      </c>
      <c r="F159" s="9" t="n">
        <v>21646.85</v>
      </c>
      <c r="G159" s="10" t="n">
        <f aca="false">(F159/E159-1)</f>
        <v>-0.00405796167940731</v>
      </c>
      <c r="H159" s="10" t="n">
        <f aca="false">(F159/F158-1)</f>
        <v>0.00654231464023058</v>
      </c>
    </row>
    <row r="160" customFormat="false" ht="15" hidden="false" customHeight="true" outlineLevel="0" collapsed="false">
      <c r="A160" s="13" t="s">
        <v>178</v>
      </c>
      <c r="B160" s="14" t="n">
        <v>44043</v>
      </c>
      <c r="C160" s="14" t="n">
        <v>44070</v>
      </c>
      <c r="D160" s="13" t="s">
        <v>12</v>
      </c>
      <c r="E160" s="15" t="n">
        <v>21730.55</v>
      </c>
      <c r="F160" s="15" t="n">
        <v>23600.35</v>
      </c>
      <c r="G160" s="16" t="n">
        <f aca="false">(F160/E160-1)</f>
        <v>0.0860447618675091</v>
      </c>
      <c r="H160" s="16" t="n">
        <f aca="false">(F160/F159-1)</f>
        <v>0.0902440770828088</v>
      </c>
    </row>
    <row r="161" customFormat="false" ht="15" hidden="false" customHeight="true" outlineLevel="0" collapsed="false">
      <c r="A161" s="7" t="s">
        <v>179</v>
      </c>
      <c r="B161" s="8" t="n">
        <v>44071</v>
      </c>
      <c r="C161" s="8" t="n">
        <v>44098</v>
      </c>
      <c r="D161" s="7" t="s">
        <v>12</v>
      </c>
      <c r="E161" s="9" t="n">
        <v>23635.3</v>
      </c>
      <c r="F161" s="9" t="n">
        <v>20456.85</v>
      </c>
      <c r="G161" s="10" t="n">
        <f aca="false">(F161/E161-1)</f>
        <v>-0.134478936167512</v>
      </c>
      <c r="H161" s="10" t="n">
        <f aca="false">(F161/F160-1)</f>
        <v>-0.133197177160508</v>
      </c>
    </row>
    <row r="162" customFormat="false" ht="15" hidden="false" customHeight="true" outlineLevel="0" collapsed="false">
      <c r="A162" s="13" t="s">
        <v>180</v>
      </c>
      <c r="B162" s="14" t="n">
        <v>44099</v>
      </c>
      <c r="C162" s="14" t="n">
        <v>44133</v>
      </c>
      <c r="D162" s="13" t="s">
        <v>12</v>
      </c>
      <c r="E162" s="15" t="n">
        <v>20740.8</v>
      </c>
      <c r="F162" s="15" t="n">
        <v>24092</v>
      </c>
      <c r="G162" s="16" t="n">
        <f aca="false">(F162/E162-1)</f>
        <v>0.161575252642135</v>
      </c>
      <c r="H162" s="16" t="n">
        <f aca="false">(F162/F161-1)</f>
        <v>0.177698423755368</v>
      </c>
    </row>
    <row r="163" customFormat="false" ht="15" hidden="false" customHeight="true" outlineLevel="0" collapsed="false">
      <c r="A163" s="7" t="s">
        <v>181</v>
      </c>
      <c r="B163" s="8" t="n">
        <v>44134</v>
      </c>
      <c r="C163" s="8" t="n">
        <v>44161</v>
      </c>
      <c r="D163" s="7" t="s">
        <v>12</v>
      </c>
      <c r="E163" s="9" t="n">
        <v>24090.15</v>
      </c>
      <c r="F163" s="9" t="n">
        <v>29549.75</v>
      </c>
      <c r="G163" s="10" t="n">
        <f aca="false">(F163/E163-1)</f>
        <v>0.226632046707887</v>
      </c>
      <c r="H163" s="10" t="n">
        <f aca="false">(F163/F162-1)</f>
        <v>0.22653785488959</v>
      </c>
    </row>
    <row r="164" customFormat="false" ht="15" hidden="false" customHeight="true" outlineLevel="0" collapsed="false">
      <c r="A164" s="13" t="s">
        <v>182</v>
      </c>
      <c r="B164" s="14" t="n">
        <v>44162</v>
      </c>
      <c r="C164" s="14" t="n">
        <v>44196</v>
      </c>
      <c r="D164" s="13" t="s">
        <v>12</v>
      </c>
      <c r="E164" s="15" t="n">
        <v>29622</v>
      </c>
      <c r="F164" s="15" t="n">
        <v>31264.05</v>
      </c>
      <c r="G164" s="16" t="n">
        <f aca="false">(F164/E164-1)</f>
        <v>0.0554334616163661</v>
      </c>
      <c r="H164" s="16" t="n">
        <f aca="false">(F164/F163-1)</f>
        <v>0.0580140271914313</v>
      </c>
    </row>
    <row r="165" customFormat="false" ht="15" hidden="false" customHeight="true" outlineLevel="0" collapsed="false">
      <c r="A165" s="7" t="s">
        <v>183</v>
      </c>
      <c r="B165" s="8" t="n">
        <v>44197</v>
      </c>
      <c r="C165" s="8" t="n">
        <v>44224</v>
      </c>
      <c r="D165" s="7" t="s">
        <v>12</v>
      </c>
      <c r="E165" s="9" t="n">
        <v>31297.3</v>
      </c>
      <c r="F165" s="9" t="n">
        <v>30358.3</v>
      </c>
      <c r="G165" s="10" t="n">
        <f aca="false">(F165/E165-1)</f>
        <v>-0.0300025880826781</v>
      </c>
      <c r="H165" s="10" t="n">
        <f aca="false">(F165/F164-1)</f>
        <v>-0.0289709746497975</v>
      </c>
    </row>
    <row r="166" customFormat="false" ht="15" hidden="false" customHeight="true" outlineLevel="0" collapsed="false">
      <c r="A166" s="13" t="s">
        <v>184</v>
      </c>
      <c r="B166" s="14" t="n">
        <v>44225</v>
      </c>
      <c r="C166" s="14" t="n">
        <v>44252</v>
      </c>
      <c r="D166" s="13" t="s">
        <v>12</v>
      </c>
      <c r="E166" s="15" t="n">
        <v>30700.65</v>
      </c>
      <c r="F166" s="15" t="n">
        <v>36549</v>
      </c>
      <c r="G166" s="16" t="n">
        <f aca="false">(F166/E166-1)</f>
        <v>0.190495966697773</v>
      </c>
      <c r="H166" s="16" t="n">
        <f aca="false">(F166/F165-1)</f>
        <v>0.203921168181354</v>
      </c>
    </row>
    <row r="167" customFormat="false" ht="15" hidden="false" customHeight="true" outlineLevel="0" collapsed="false">
      <c r="A167" s="7" t="s">
        <v>185</v>
      </c>
      <c r="B167" s="8" t="n">
        <v>44253</v>
      </c>
      <c r="C167" s="8" t="n">
        <v>44280</v>
      </c>
      <c r="D167" s="7" t="s">
        <v>12</v>
      </c>
      <c r="E167" s="9" t="n">
        <v>35806.65</v>
      </c>
      <c r="F167" s="9" t="n">
        <v>33006.45</v>
      </c>
      <c r="G167" s="10" t="n">
        <f aca="false">(F167/E167-1)</f>
        <v>-0.0782033504949501</v>
      </c>
      <c r="H167" s="10" t="n">
        <f aca="false">(F167/F166-1)</f>
        <v>-0.0969260444882214</v>
      </c>
    </row>
    <row r="168" customFormat="false" ht="15" hidden="false" customHeight="true" outlineLevel="0" collapsed="false">
      <c r="A168" s="13" t="s">
        <v>186</v>
      </c>
      <c r="B168" s="14" t="n">
        <v>44281</v>
      </c>
      <c r="C168" s="14" t="n">
        <v>44315</v>
      </c>
      <c r="D168" s="13" t="s">
        <v>12</v>
      </c>
      <c r="E168" s="15" t="n">
        <v>33605.05</v>
      </c>
      <c r="F168" s="15" t="n">
        <v>33714.5</v>
      </c>
      <c r="G168" s="16" t="n">
        <f aca="false">(F168/E168-1)</f>
        <v>0.00325695096421508</v>
      </c>
      <c r="H168" s="16" t="n">
        <f aca="false">(F168/F167-1)</f>
        <v>0.0214518677410023</v>
      </c>
    </row>
    <row r="169" customFormat="false" ht="15" hidden="false" customHeight="true" outlineLevel="0" collapsed="false">
      <c r="A169" s="7" t="s">
        <v>187</v>
      </c>
      <c r="B169" s="8" t="n">
        <v>44316</v>
      </c>
      <c r="C169" s="8" t="n">
        <v>44343</v>
      </c>
      <c r="D169" s="7" t="s">
        <v>12</v>
      </c>
      <c r="E169" s="9" t="n">
        <v>33112.4</v>
      </c>
      <c r="F169" s="9" t="n">
        <v>35095.05</v>
      </c>
      <c r="G169" s="10" t="n">
        <f aca="false">(F169/E169-1)</f>
        <v>0.0598763605175101</v>
      </c>
      <c r="H169" s="10" t="n">
        <f aca="false">(F169/F168-1)</f>
        <v>0.0409482566848094</v>
      </c>
    </row>
    <row r="170" customFormat="false" ht="15" hidden="false" customHeight="true" outlineLevel="0" collapsed="false">
      <c r="A170" s="13" t="s">
        <v>188</v>
      </c>
      <c r="B170" s="14" t="n">
        <v>44344</v>
      </c>
      <c r="C170" s="14" t="n">
        <v>44371</v>
      </c>
      <c r="D170" s="13" t="s">
        <v>12</v>
      </c>
      <c r="E170" s="15" t="n">
        <v>35345.65</v>
      </c>
      <c r="F170" s="15" t="n">
        <v>34827</v>
      </c>
      <c r="G170" s="16" t="n">
        <f aca="false">(F170/E170-1)</f>
        <v>-0.0146736585690177</v>
      </c>
      <c r="H170" s="16" t="n">
        <f aca="false">(F170/F169-1)</f>
        <v>-0.00763782926652057</v>
      </c>
    </row>
    <row r="171" customFormat="false" ht="15" hidden="false" customHeight="true" outlineLevel="0" collapsed="false">
      <c r="A171" s="7" t="s">
        <v>189</v>
      </c>
      <c r="B171" s="8" t="n">
        <v>44372</v>
      </c>
      <c r="C171" s="8" t="n">
        <v>44406</v>
      </c>
      <c r="D171" s="7" t="s">
        <v>12</v>
      </c>
      <c r="E171" s="9" t="n">
        <v>34916.65</v>
      </c>
      <c r="F171" s="9" t="n">
        <v>34691.5</v>
      </c>
      <c r="G171" s="10" t="n">
        <f aca="false">(F171/E171-1)</f>
        <v>-0.00644821310177246</v>
      </c>
      <c r="H171" s="10" t="n">
        <f aca="false">(F171/F170-1)</f>
        <v>-0.00389065954575474</v>
      </c>
    </row>
    <row r="172" customFormat="false" ht="15" hidden="false" customHeight="true" outlineLevel="0" collapsed="false">
      <c r="A172" s="13" t="s">
        <v>190</v>
      </c>
      <c r="B172" s="14" t="n">
        <v>44407</v>
      </c>
      <c r="C172" s="14" t="n">
        <v>44434</v>
      </c>
      <c r="D172" s="13" t="s">
        <v>12</v>
      </c>
      <c r="E172" s="15" t="n">
        <v>34698.75</v>
      </c>
      <c r="F172" s="15" t="n">
        <v>35617.55</v>
      </c>
      <c r="G172" s="16" t="n">
        <f aca="false">(F172/E172-1)</f>
        <v>0.026479340033863</v>
      </c>
      <c r="H172" s="16" t="n">
        <f aca="false">(F172/F171-1)</f>
        <v>0.0266938587262011</v>
      </c>
    </row>
    <row r="173" customFormat="false" ht="15" hidden="false" customHeight="true" outlineLevel="0" collapsed="false">
      <c r="A173" s="7" t="s">
        <v>191</v>
      </c>
      <c r="B173" s="8" t="n">
        <v>44435</v>
      </c>
      <c r="C173" s="8" t="n">
        <v>44469</v>
      </c>
      <c r="D173" s="7" t="s">
        <v>12</v>
      </c>
      <c r="E173" s="9" t="n">
        <v>35559.75</v>
      </c>
      <c r="F173" s="9" t="n">
        <v>37425.1</v>
      </c>
      <c r="G173" s="10" t="n">
        <f aca="false">(F173/E173-1)</f>
        <v>0.0524567804891767</v>
      </c>
      <c r="H173" s="10" t="n">
        <f aca="false">(F173/F172-1)</f>
        <v>0.0507488583577476</v>
      </c>
    </row>
    <row r="174" customFormat="false" ht="15" hidden="false" customHeight="true" outlineLevel="0" collapsed="false">
      <c r="A174" s="13" t="s">
        <v>192</v>
      </c>
      <c r="B174" s="14" t="n">
        <v>44470</v>
      </c>
      <c r="C174" s="14" t="n">
        <v>44497</v>
      </c>
      <c r="D174" s="13" t="s">
        <v>12</v>
      </c>
      <c r="E174" s="15" t="n">
        <v>37140.4</v>
      </c>
      <c r="F174" s="15" t="n">
        <v>39508.95</v>
      </c>
      <c r="G174" s="16" t="n">
        <f aca="false">(F174/E174-1)</f>
        <v>0.0637728726669609</v>
      </c>
      <c r="H174" s="16" t="n">
        <f aca="false">(F174/F173-1)</f>
        <v>0.055680545943765</v>
      </c>
    </row>
    <row r="175" customFormat="false" ht="15" hidden="false" customHeight="true" outlineLevel="0" collapsed="false">
      <c r="A175" s="7" t="s">
        <v>193</v>
      </c>
      <c r="B175" s="8" t="n">
        <v>44498</v>
      </c>
      <c r="C175" s="8" t="n">
        <v>44525</v>
      </c>
      <c r="D175" s="7" t="s">
        <v>12</v>
      </c>
      <c r="E175" s="9" t="n">
        <v>39424.55</v>
      </c>
      <c r="F175" s="9" t="n">
        <v>37364.75</v>
      </c>
      <c r="G175" s="10" t="n">
        <f aca="false">(F175/E175-1)</f>
        <v>-0.0522466331258062</v>
      </c>
      <c r="H175" s="10" t="n">
        <f aca="false">(F175/F174-1)</f>
        <v>-0.0542712474009053</v>
      </c>
    </row>
    <row r="176" customFormat="false" ht="15" hidden="false" customHeight="true" outlineLevel="0" collapsed="false">
      <c r="A176" s="13" t="s">
        <v>194</v>
      </c>
      <c r="B176" s="14" t="n">
        <v>44526</v>
      </c>
      <c r="C176" s="14" t="n">
        <v>44560</v>
      </c>
      <c r="D176" s="13" t="s">
        <v>12</v>
      </c>
      <c r="E176" s="15" t="n">
        <v>36830.9</v>
      </c>
      <c r="F176" s="15" t="n">
        <v>35063.6</v>
      </c>
      <c r="G176" s="16" t="n">
        <f aca="false">(F176/E176-1)</f>
        <v>-0.0479841654697552</v>
      </c>
      <c r="H176" s="16" t="n">
        <f aca="false">(F176/F175-1)</f>
        <v>-0.0615861206083274</v>
      </c>
    </row>
    <row r="177" customFormat="false" ht="15" hidden="false" customHeight="true" outlineLevel="0" collapsed="false">
      <c r="A177" s="7" t="s">
        <v>195</v>
      </c>
      <c r="B177" s="8" t="n">
        <v>44561</v>
      </c>
      <c r="C177" s="8" t="n">
        <v>44588</v>
      </c>
      <c r="D177" s="7" t="s">
        <v>12</v>
      </c>
      <c r="E177" s="9" t="n">
        <v>35114.4</v>
      </c>
      <c r="F177" s="9" t="n">
        <v>37982.1</v>
      </c>
      <c r="G177" s="10" t="n">
        <f aca="false">(F177/E177-1)</f>
        <v>0.0816673501469483</v>
      </c>
      <c r="H177" s="10" t="n">
        <f aca="false">(F177/F176-1)</f>
        <v>0.0832344653714965</v>
      </c>
    </row>
    <row r="178" customFormat="false" ht="15" hidden="false" customHeight="true" outlineLevel="0" collapsed="false">
      <c r="A178" s="13" t="s">
        <v>196</v>
      </c>
      <c r="B178" s="14" t="n">
        <v>44589</v>
      </c>
      <c r="C178" s="14" t="n">
        <v>44616</v>
      </c>
      <c r="D178" s="13" t="s">
        <v>12</v>
      </c>
      <c r="E178" s="15" t="n">
        <v>38246.6</v>
      </c>
      <c r="F178" s="15" t="n">
        <v>35228.1</v>
      </c>
      <c r="G178" s="16" t="n">
        <f aca="false">(F178/E178-1)</f>
        <v>-0.0789220479728917</v>
      </c>
      <c r="H178" s="16" t="n">
        <f aca="false">(F178/F177-1)</f>
        <v>-0.0725078392190005</v>
      </c>
    </row>
    <row r="179" customFormat="false" ht="15" hidden="false" customHeight="true" outlineLevel="0" collapsed="false">
      <c r="A179" s="7" t="s">
        <v>197</v>
      </c>
      <c r="B179" s="8" t="n">
        <v>44617</v>
      </c>
      <c r="C179" s="8" t="n">
        <v>44651</v>
      </c>
      <c r="D179" s="7" t="s">
        <v>12</v>
      </c>
      <c r="E179" s="9" t="n">
        <v>35901.7</v>
      </c>
      <c r="F179" s="9" t="n">
        <v>36373.6</v>
      </c>
      <c r="G179" s="10" t="n">
        <f aca="false">(F179/E179-1)</f>
        <v>0.0131442243682054</v>
      </c>
      <c r="H179" s="10" t="n">
        <f aca="false">(F179/F178-1)</f>
        <v>0.0325166557378911</v>
      </c>
    </row>
    <row r="180" customFormat="false" ht="15" hidden="false" customHeight="true" outlineLevel="0" collapsed="false">
      <c r="A180" s="13" t="s">
        <v>198</v>
      </c>
      <c r="B180" s="14" t="n">
        <v>44652</v>
      </c>
      <c r="C180" s="14" t="n">
        <v>44679</v>
      </c>
      <c r="D180" s="13" t="s">
        <v>12</v>
      </c>
      <c r="E180" s="15" t="n">
        <v>36298.35</v>
      </c>
      <c r="F180" s="15" t="n">
        <v>36422.2</v>
      </c>
      <c r="G180" s="16" t="n">
        <f aca="false">(F180/E180-1)</f>
        <v>0.00341200082097393</v>
      </c>
      <c r="H180" s="16" t="n">
        <f aca="false">(F180/F179-1)</f>
        <v>0.00133613389931164</v>
      </c>
    </row>
    <row r="181" customFormat="false" ht="15" hidden="false" customHeight="true" outlineLevel="0" collapsed="false">
      <c r="A181" s="7" t="s">
        <v>199</v>
      </c>
      <c r="B181" s="8" t="n">
        <v>44680</v>
      </c>
      <c r="C181" s="8" t="n">
        <v>44707</v>
      </c>
      <c r="D181" s="7" t="s">
        <v>12</v>
      </c>
      <c r="E181" s="9" t="n">
        <v>36474.05</v>
      </c>
      <c r="F181" s="9" t="n">
        <v>35094.9</v>
      </c>
      <c r="G181" s="10" t="n">
        <f aca="false">(F181/E181-1)</f>
        <v>-0.0378118141528018</v>
      </c>
      <c r="H181" s="10" t="n">
        <f aca="false">(F181/F180-1)</f>
        <v>-0.0364420600622696</v>
      </c>
    </row>
    <row r="182" customFormat="false" ht="15" hidden="false" customHeight="true" outlineLevel="0" collapsed="false">
      <c r="A182" s="13" t="s">
        <v>200</v>
      </c>
      <c r="B182" s="14" t="n">
        <v>44708</v>
      </c>
      <c r="C182" s="14" t="n">
        <v>44742</v>
      </c>
      <c r="D182" s="13" t="s">
        <v>12</v>
      </c>
      <c r="E182" s="15" t="n">
        <v>35326.6</v>
      </c>
      <c r="F182" s="15" t="n">
        <v>33425.1</v>
      </c>
      <c r="G182" s="16" t="n">
        <f aca="false">(F182/E182-1)</f>
        <v>-0.0538262951996512</v>
      </c>
      <c r="H182" s="16" t="n">
        <f aca="false">(F182/F181-1)</f>
        <v>-0.0475795628424643</v>
      </c>
    </row>
    <row r="183" customFormat="false" ht="15" hidden="false" customHeight="true" outlineLevel="0" collapsed="false">
      <c r="A183" s="7" t="s">
        <v>201</v>
      </c>
      <c r="B183" s="8" t="n">
        <v>44743</v>
      </c>
      <c r="C183" s="8" t="n">
        <v>44770</v>
      </c>
      <c r="D183" s="7" t="s">
        <v>12</v>
      </c>
      <c r="E183" s="9" t="n">
        <v>33264.75</v>
      </c>
      <c r="F183" s="9" t="n">
        <v>37378.15</v>
      </c>
      <c r="G183" s="10" t="n">
        <f aca="false">(F183/E183-1)</f>
        <v>0.123656423090509</v>
      </c>
      <c r="H183" s="10" t="n">
        <f aca="false">(F183/F182-1)</f>
        <v>0.118265913938926</v>
      </c>
    </row>
    <row r="184" customFormat="false" ht="15" hidden="false" customHeight="true" outlineLevel="0" collapsed="false">
      <c r="A184" s="13" t="s">
        <v>202</v>
      </c>
      <c r="B184" s="14" t="n">
        <v>44771</v>
      </c>
      <c r="C184" s="14" t="n">
        <v>44798</v>
      </c>
      <c r="D184" s="13" t="s">
        <v>12</v>
      </c>
      <c r="E184" s="15" t="n">
        <v>37717.3</v>
      </c>
      <c r="F184" s="15" t="n">
        <v>38950.75</v>
      </c>
      <c r="G184" s="16" t="n">
        <f aca="false">(F184/E184-1)</f>
        <v>0.0327024999138326</v>
      </c>
      <c r="H184" s="16" t="n">
        <f aca="false">(F184/F183-1)</f>
        <v>0.0420727082533512</v>
      </c>
    </row>
    <row r="185" customFormat="false" ht="15" hidden="false" customHeight="true" outlineLevel="0" collapsed="false">
      <c r="A185" s="7" t="s">
        <v>203</v>
      </c>
      <c r="B185" s="8" t="n">
        <v>44799</v>
      </c>
      <c r="C185" s="8" t="n">
        <v>44833</v>
      </c>
      <c r="D185" s="7" t="s">
        <v>12</v>
      </c>
      <c r="E185" s="9" t="n">
        <v>39129.65</v>
      </c>
      <c r="F185" s="9" t="n">
        <v>37647.75</v>
      </c>
      <c r="G185" s="10" t="n">
        <f aca="false">(F185/E185-1)</f>
        <v>-0.0378715373124984</v>
      </c>
      <c r="H185" s="10" t="n">
        <f aca="false">(F185/F184-1)</f>
        <v>-0.0334525009146165</v>
      </c>
    </row>
    <row r="186" customFormat="false" ht="15" hidden="false" customHeight="true" outlineLevel="0" collapsed="false">
      <c r="A186" s="13" t="s">
        <v>204</v>
      </c>
      <c r="B186" s="14" t="n">
        <v>44834</v>
      </c>
      <c r="C186" s="14" t="n">
        <v>44861</v>
      </c>
      <c r="D186" s="13" t="s">
        <v>12</v>
      </c>
      <c r="E186" s="15" t="n">
        <v>37660</v>
      </c>
      <c r="F186" s="15" t="n">
        <v>41299.3</v>
      </c>
      <c r="G186" s="16" t="n">
        <f aca="false">(F186/E186-1)</f>
        <v>0.096635687732342</v>
      </c>
      <c r="H186" s="16" t="n">
        <f aca="false">(F186/F185-1)</f>
        <v>0.0969925161530238</v>
      </c>
    </row>
    <row r="187" customFormat="false" ht="15" hidden="false" customHeight="true" outlineLevel="0" collapsed="false">
      <c r="A187" s="7" t="s">
        <v>205</v>
      </c>
      <c r="B187" s="8" t="n">
        <v>44862</v>
      </c>
      <c r="C187" s="8" t="n">
        <v>44889</v>
      </c>
      <c r="D187" s="7" t="s">
        <v>12</v>
      </c>
      <c r="E187" s="9" t="n">
        <v>41236.8</v>
      </c>
      <c r="F187" s="9" t="n">
        <v>43075.4</v>
      </c>
      <c r="G187" s="10" t="n">
        <f aca="false">(F187/E187-1)</f>
        <v>0.0445863888565552</v>
      </c>
      <c r="H187" s="10" t="n">
        <f aca="false">(F187/F186-1)</f>
        <v>0.043005571523004</v>
      </c>
    </row>
    <row r="188" customFormat="false" ht="15" hidden="false" customHeight="true" outlineLevel="0" collapsed="false">
      <c r="A188" s="13" t="s">
        <v>206</v>
      </c>
      <c r="B188" s="14" t="n">
        <v>44890</v>
      </c>
      <c r="C188" s="14" t="n">
        <v>44924</v>
      </c>
      <c r="D188" s="13" t="s">
        <v>12</v>
      </c>
      <c r="E188" s="15" t="n">
        <v>43192.45</v>
      </c>
      <c r="F188" s="15" t="n">
        <v>43252.35</v>
      </c>
      <c r="G188" s="16" t="n">
        <f aca="false">(F188/E188-1)</f>
        <v>0.00138681644592986</v>
      </c>
      <c r="H188" s="16" t="n">
        <f aca="false">(F188/F187-1)</f>
        <v>0.00410791310121317</v>
      </c>
    </row>
    <row r="189" customFormat="false" ht="15" hidden="false" customHeight="true" outlineLevel="0" collapsed="false">
      <c r="A189" s="7" t="s">
        <v>207</v>
      </c>
      <c r="B189" s="8" t="n">
        <v>44925</v>
      </c>
      <c r="C189" s="8" t="n">
        <v>44951</v>
      </c>
      <c r="D189" s="7" t="s">
        <v>35</v>
      </c>
      <c r="E189" s="9" t="n">
        <v>43401.7</v>
      </c>
      <c r="F189" s="9" t="n">
        <v>41647.65</v>
      </c>
      <c r="G189" s="10" t="n">
        <f aca="false">(F189/E189-1)</f>
        <v>-0.0404143155682841</v>
      </c>
      <c r="H189" s="10" t="n">
        <f aca="false">(F189/F188-1)</f>
        <v>-0.0371008742877554</v>
      </c>
    </row>
    <row r="190" customFormat="false" ht="15" hidden="false" customHeight="true" outlineLevel="0" collapsed="false">
      <c r="A190" s="13" t="s">
        <v>208</v>
      </c>
      <c r="B190" s="14" t="n">
        <v>44953</v>
      </c>
      <c r="C190" s="14" t="n">
        <v>44980</v>
      </c>
      <c r="D190" s="13" t="s">
        <v>12</v>
      </c>
      <c r="E190" s="15" t="n">
        <v>41382.35</v>
      </c>
      <c r="F190" s="15" t="n">
        <v>40001.55</v>
      </c>
      <c r="G190" s="16" t="n">
        <f aca="false">(F190/E190-1)</f>
        <v>-0.0333668822577741</v>
      </c>
      <c r="H190" s="16" t="n">
        <f aca="false">(F190/F189-1)</f>
        <v>-0.0395244389539385</v>
      </c>
    </row>
    <row r="191" customFormat="false" ht="15" hidden="false" customHeight="true" outlineLevel="0" collapsed="false">
      <c r="A191" s="7" t="s">
        <v>209</v>
      </c>
      <c r="B191" s="8" t="n">
        <v>44981</v>
      </c>
      <c r="C191" s="8" t="n">
        <v>45014</v>
      </c>
      <c r="D191" s="7" t="s">
        <v>35</v>
      </c>
      <c r="E191" s="9" t="n">
        <v>40259.1</v>
      </c>
      <c r="F191" s="9" t="n">
        <v>39910.15</v>
      </c>
      <c r="G191" s="10" t="n">
        <f aca="false">(F191/E191-1)</f>
        <v>-0.00866760558482427</v>
      </c>
      <c r="H191" s="10" t="n">
        <f aca="false">(F191/F190-1)</f>
        <v>-0.00228491145968102</v>
      </c>
    </row>
    <row r="192" customFormat="false" ht="15" hidden="false" customHeight="true" outlineLevel="0" collapsed="false">
      <c r="A192" s="13" t="s">
        <v>210</v>
      </c>
      <c r="B192" s="14" t="n">
        <v>45016</v>
      </c>
      <c r="C192" s="14" t="n">
        <v>45043</v>
      </c>
      <c r="D192" s="13" t="s">
        <v>12</v>
      </c>
      <c r="E192" s="15" t="n">
        <v>40231.25</v>
      </c>
      <c r="F192" s="15" t="n">
        <v>43000.85</v>
      </c>
      <c r="G192" s="16" t="n">
        <f aca="false">(F192/E192-1)</f>
        <v>0.0688420071461862</v>
      </c>
      <c r="H192" s="16" t="n">
        <f aca="false">(F192/F191-1)</f>
        <v>0.0774414528634946</v>
      </c>
    </row>
    <row r="193" customFormat="false" ht="15" hidden="false" customHeight="true" outlineLevel="0" collapsed="false">
      <c r="A193" s="7" t="s">
        <v>211</v>
      </c>
      <c r="B193" s="8" t="n">
        <v>45044</v>
      </c>
      <c r="C193" s="8" t="n">
        <v>45071</v>
      </c>
      <c r="D193" s="7" t="s">
        <v>12</v>
      </c>
      <c r="E193" s="9" t="n">
        <v>43045.5</v>
      </c>
      <c r="F193" s="9" t="n">
        <v>43681.4</v>
      </c>
      <c r="G193" s="10" t="n">
        <f aca="false">(F193/E193-1)</f>
        <v>0.014772740472291</v>
      </c>
      <c r="H193" s="10" t="n">
        <f aca="false">(F193/F192-1)</f>
        <v>0.0158264313379852</v>
      </c>
    </row>
    <row r="194" customFormat="false" ht="15" hidden="false" customHeight="true" outlineLevel="0" collapsed="false">
      <c r="A194" s="13" t="s">
        <v>212</v>
      </c>
      <c r="B194" s="14" t="n">
        <v>45072</v>
      </c>
      <c r="C194" s="14" t="n">
        <v>45105</v>
      </c>
      <c r="D194" s="13" t="s">
        <v>35</v>
      </c>
      <c r="E194" s="15" t="n">
        <v>43765.35</v>
      </c>
      <c r="F194" s="15" t="n">
        <v>44327.8</v>
      </c>
      <c r="G194" s="16" t="n">
        <f aca="false">(F194/E194-1)</f>
        <v>0.0128514909625994</v>
      </c>
      <c r="H194" s="16" t="n">
        <f aca="false">(F194/F193-1)</f>
        <v>0.0147980605017239</v>
      </c>
    </row>
    <row r="195" customFormat="false" ht="15" hidden="false" customHeight="true" outlineLevel="0" collapsed="false">
      <c r="A195" s="7" t="s">
        <v>213</v>
      </c>
      <c r="B195" s="8" t="n">
        <v>45107</v>
      </c>
      <c r="C195" s="8" t="n">
        <v>45134</v>
      </c>
      <c r="D195" s="7" t="s">
        <v>12</v>
      </c>
      <c r="E195" s="9" t="n">
        <v>44666</v>
      </c>
      <c r="F195" s="9" t="n">
        <v>45679.3</v>
      </c>
      <c r="G195" s="10" t="n">
        <f aca="false">(F195/E195-1)</f>
        <v>0.0226861594949179</v>
      </c>
      <c r="H195" s="10" t="n">
        <f aca="false">(F195/F194-1)</f>
        <v>0.0304887677710151</v>
      </c>
    </row>
    <row r="196" customFormat="false" ht="15" hidden="false" customHeight="true" outlineLevel="0" collapsed="false">
      <c r="A196" s="13" t="s">
        <v>214</v>
      </c>
      <c r="B196" s="14" t="n">
        <v>45135</v>
      </c>
      <c r="C196" s="14" t="n">
        <v>45169</v>
      </c>
      <c r="D196" s="13" t="s">
        <v>12</v>
      </c>
      <c r="E196" s="15" t="n">
        <v>45560.9</v>
      </c>
      <c r="F196" s="15" t="n">
        <v>43989.15</v>
      </c>
      <c r="G196" s="16" t="n">
        <f aca="false">(F196/E196-1)</f>
        <v>-0.0344977820894671</v>
      </c>
      <c r="H196" s="16" t="n">
        <f aca="false">(F196/F195-1)</f>
        <v>-0.0370003480788892</v>
      </c>
    </row>
    <row r="197" customFormat="false" ht="15" hidden="false" customHeight="true" outlineLevel="0" collapsed="false">
      <c r="A197" s="7" t="s">
        <v>215</v>
      </c>
      <c r="B197" s="8" t="n">
        <v>45170</v>
      </c>
      <c r="C197" s="8" t="n">
        <v>45197</v>
      </c>
      <c r="D197" s="7" t="s">
        <v>12</v>
      </c>
      <c r="E197" s="9" t="n">
        <v>43996.1</v>
      </c>
      <c r="F197" s="9" t="n">
        <v>44300.95</v>
      </c>
      <c r="G197" s="10" t="n">
        <f aca="false">(F197/E197-1)</f>
        <v>0.00692902325433398</v>
      </c>
      <c r="H197" s="10" t="n">
        <f aca="false">(F197/F196-1)</f>
        <v>0.00708811150022215</v>
      </c>
    </row>
    <row r="198" customFormat="false" ht="15" hidden="false" customHeight="true" outlineLevel="0" collapsed="false">
      <c r="A198" s="13" t="s">
        <v>216</v>
      </c>
      <c r="B198" s="14" t="n">
        <v>45198</v>
      </c>
      <c r="C198" s="14" t="n">
        <v>45225</v>
      </c>
      <c r="D198" s="13" t="s">
        <v>12</v>
      </c>
      <c r="E198" s="15" t="n">
        <v>44445.35</v>
      </c>
      <c r="F198" s="15" t="n">
        <v>42280.15</v>
      </c>
      <c r="G198" s="16" t="n">
        <f aca="false">(F198/E198-1)</f>
        <v>-0.048716007411349</v>
      </c>
      <c r="H198" s="16" t="n">
        <f aca="false">(F198/F197-1)</f>
        <v>-0.045615274616007</v>
      </c>
    </row>
    <row r="199" customFormat="false" ht="15" hidden="false" customHeight="true" outlineLevel="0" collapsed="false">
      <c r="A199" s="7" t="s">
        <v>217</v>
      </c>
      <c r="B199" s="8" t="n">
        <v>45226</v>
      </c>
      <c r="C199" s="8" t="n">
        <v>45260</v>
      </c>
      <c r="D199" s="7" t="s">
        <v>12</v>
      </c>
      <c r="E199" s="9" t="n">
        <v>42555.6</v>
      </c>
      <c r="F199" s="9" t="n">
        <v>44481.75</v>
      </c>
      <c r="G199" s="10" t="n">
        <f aca="false">(F199/E199-1)</f>
        <v>0.0452619631728846</v>
      </c>
      <c r="H199" s="10" t="n">
        <f aca="false">(F199/F198-1)</f>
        <v>0.0520717168695002</v>
      </c>
    </row>
    <row r="200" customFormat="false" ht="15" hidden="false" customHeight="true" outlineLevel="0" collapsed="false">
      <c r="A200" s="13" t="s">
        <v>218</v>
      </c>
      <c r="B200" s="14" t="n">
        <v>45261</v>
      </c>
      <c r="C200" s="14" t="n">
        <v>45288</v>
      </c>
      <c r="D200" s="13" t="s">
        <v>12</v>
      </c>
      <c r="E200" s="15" t="n">
        <v>44580.15</v>
      </c>
      <c r="F200" s="15" t="n">
        <v>48508.55</v>
      </c>
      <c r="G200" s="16" t="n">
        <f aca="false">(F200/E200-1)</f>
        <v>0.0881199367880099</v>
      </c>
      <c r="H200" s="16" t="n">
        <f aca="false">(F200/F199-1)</f>
        <v>0.0905270138877181</v>
      </c>
    </row>
    <row r="201" customFormat="false" ht="15" hidden="false" customHeight="true" outlineLevel="0" collapsed="false">
      <c r="A201" s="7" t="s">
        <v>219</v>
      </c>
      <c r="B201" s="8" t="n">
        <v>45289</v>
      </c>
      <c r="C201" s="8" t="n">
        <v>45316</v>
      </c>
      <c r="D201" s="7" t="s">
        <v>12</v>
      </c>
      <c r="E201" s="9" t="n">
        <v>48374.85</v>
      </c>
      <c r="F201" s="9" t="n">
        <v>44866.15</v>
      </c>
      <c r="G201" s="10" t="n">
        <f aca="false">(F201/E201-1)</f>
        <v>-0.0725314910537189</v>
      </c>
      <c r="H201" s="10" t="n">
        <f aca="false">(F201/F200-1)</f>
        <v>-0.0750877938012989</v>
      </c>
    </row>
    <row r="202" customFormat="false" ht="15" hidden="false" customHeight="true" outlineLevel="0" collapsed="false">
      <c r="A202" s="13" t="s">
        <v>220</v>
      </c>
      <c r="B202" s="14" t="n">
        <v>45320</v>
      </c>
      <c r="C202" s="14" t="n">
        <v>45351</v>
      </c>
      <c r="D202" s="13" t="s">
        <v>12</v>
      </c>
      <c r="E202" s="15" t="n">
        <v>45171.5</v>
      </c>
      <c r="F202" s="15" t="n">
        <v>46120.9</v>
      </c>
      <c r="G202" s="16" t="n">
        <f aca="false">(F202/E202-1)</f>
        <v>0.0210176770751469</v>
      </c>
      <c r="H202" s="16" t="n">
        <f aca="false">(F202/F201-1)</f>
        <v>0.027966518187988</v>
      </c>
    </row>
    <row r="203" customFormat="false" ht="15" hidden="false" customHeight="true" outlineLevel="0" collapsed="false">
      <c r="A203" s="7" t="s">
        <v>221</v>
      </c>
      <c r="B203" s="8" t="n">
        <v>45352</v>
      </c>
      <c r="C203" s="8" t="n">
        <v>45379</v>
      </c>
      <c r="D203" s="7" t="s">
        <v>12</v>
      </c>
      <c r="E203" s="9" t="n">
        <v>46218</v>
      </c>
      <c r="F203" s="9" t="n">
        <v>47124.6</v>
      </c>
      <c r="G203" s="10" t="n">
        <f aca="false">(F203/E203-1)</f>
        <v>0.01961573412956</v>
      </c>
      <c r="H203" s="10" t="n">
        <f aca="false">(F203/F202-1)</f>
        <v>0.0217623680370505</v>
      </c>
    </row>
    <row r="204" customFormat="false" ht="15" hidden="false" customHeight="true" outlineLevel="0" collapsed="false">
      <c r="A204" s="13" t="s">
        <v>222</v>
      </c>
      <c r="B204" s="14" t="n">
        <v>45383</v>
      </c>
      <c r="C204" s="14" t="n">
        <v>45407</v>
      </c>
      <c r="D204" s="13" t="s">
        <v>12</v>
      </c>
      <c r="E204" s="15" t="n">
        <v>47391.05</v>
      </c>
      <c r="F204" s="15" t="n">
        <v>48494.95</v>
      </c>
      <c r="G204" s="16" t="n">
        <f aca="false">(F204/E204-1)</f>
        <v>0.0232934277674792</v>
      </c>
      <c r="H204" s="16" t="n">
        <f aca="false">(F204/F203-1)</f>
        <v>0.0290792919197191</v>
      </c>
    </row>
    <row r="205" customFormat="false" ht="15" hidden="false" customHeight="true" outlineLevel="0" collapsed="false">
      <c r="A205" s="7" t="s">
        <v>223</v>
      </c>
      <c r="B205" s="8" t="n">
        <v>45408</v>
      </c>
      <c r="C205" s="8" t="n">
        <v>45442</v>
      </c>
      <c r="D205" s="7" t="s">
        <v>12</v>
      </c>
      <c r="E205" s="9" t="n">
        <v>48660</v>
      </c>
      <c r="F205" s="9" t="n">
        <v>48682.35</v>
      </c>
      <c r="G205" s="10" t="n">
        <f aca="false">(F205/E205-1)</f>
        <v>0.000459309494451166</v>
      </c>
      <c r="H205" s="10" t="n">
        <f aca="false">(F205/F204-1)</f>
        <v>0.00386431989310232</v>
      </c>
    </row>
    <row r="206" customFormat="false" ht="15" hidden="false" customHeight="true" outlineLevel="0" collapsed="false">
      <c r="A206" s="13" t="s">
        <v>224</v>
      </c>
      <c r="B206" s="14" t="n">
        <v>45443</v>
      </c>
      <c r="C206" s="14" t="n">
        <v>45470</v>
      </c>
      <c r="D206" s="13" t="s">
        <v>12</v>
      </c>
      <c r="E206" s="15" t="n">
        <v>48895.15</v>
      </c>
      <c r="F206" s="15" t="n">
        <v>52811.3</v>
      </c>
      <c r="G206" s="16" t="n">
        <f aca="false">(F206/E206-1)</f>
        <v>0.0800928108411572</v>
      </c>
      <c r="H206" s="16" t="n">
        <f aca="false">(F206/F205-1)</f>
        <v>0.0848141061390833</v>
      </c>
    </row>
    <row r="207" customFormat="false" ht="15" hidden="false" customHeight="true" outlineLevel="0" collapsed="false">
      <c r="A207" s="7" t="s">
        <v>225</v>
      </c>
      <c r="B207" s="8" t="n">
        <v>45471</v>
      </c>
      <c r="C207" s="8" t="n">
        <v>45498</v>
      </c>
      <c r="D207" s="7" t="s">
        <v>12</v>
      </c>
      <c r="E207" s="9" t="n">
        <v>52874.95</v>
      </c>
      <c r="F207" s="9" t="n">
        <v>50888.75</v>
      </c>
      <c r="G207" s="10" t="n">
        <f aca="false">(F207/E207-1)</f>
        <v>-0.0375641017154625</v>
      </c>
      <c r="H207" s="10" t="n">
        <f aca="false">(F207/F206-1)</f>
        <v>-0.0364041407804769</v>
      </c>
    </row>
    <row r="208" customFormat="false" ht="15" hidden="false" customHeight="true" outlineLevel="0" collapsed="false">
      <c r="A208" s="13" t="s">
        <v>226</v>
      </c>
      <c r="B208" s="14" t="n">
        <v>45499</v>
      </c>
      <c r="C208" s="14" t="n">
        <v>45533</v>
      </c>
      <c r="D208" s="13" t="s">
        <v>12</v>
      </c>
      <c r="E208" s="15" t="n">
        <v>50456.1</v>
      </c>
      <c r="F208" s="15" t="n">
        <v>51152.75</v>
      </c>
      <c r="G208" s="16" t="n">
        <f aca="false">(F208/E208-1)</f>
        <v>0.0138070520710083</v>
      </c>
      <c r="H208" s="16" t="n">
        <f aca="false">(F208/F207-1)</f>
        <v>0.00518778708457179</v>
      </c>
    </row>
    <row r="209" customFormat="false" ht="15" hidden="false" customHeight="true" outlineLevel="0" collapsed="false">
      <c r="A209" s="7" t="s">
        <v>227</v>
      </c>
      <c r="B209" s="8" t="n">
        <v>45534</v>
      </c>
      <c r="C209" s="8" t="n">
        <v>45561</v>
      </c>
      <c r="D209" s="7" t="s">
        <v>12</v>
      </c>
      <c r="E209" s="9" t="n">
        <v>51437.45</v>
      </c>
      <c r="F209" s="9" t="n">
        <v>54375.35</v>
      </c>
      <c r="G209" s="10" t="n">
        <f aca="false">(F209/E209-1)</f>
        <v>0.0571159728952348</v>
      </c>
      <c r="H209" s="10" t="n">
        <f aca="false">(F209/F208-1)</f>
        <v>0.062999545478982</v>
      </c>
    </row>
    <row r="210" customFormat="false" ht="15" hidden="false" customHeight="true" outlineLevel="0" collapsed="false">
      <c r="A210" s="13" t="s">
        <v>228</v>
      </c>
      <c r="B210" s="14" t="n">
        <v>45562</v>
      </c>
      <c r="C210" s="14" t="n">
        <v>45596</v>
      </c>
      <c r="D210" s="13" t="s">
        <v>12</v>
      </c>
      <c r="E210" s="15" t="n">
        <v>54338.7</v>
      </c>
      <c r="F210" s="15" t="n">
        <v>51475.35</v>
      </c>
      <c r="G210" s="16" t="n">
        <f aca="false">(F210/E210-1)</f>
        <v>-0.0526944884585019</v>
      </c>
      <c r="H210" s="16" t="n">
        <f aca="false">(F210/F209-1)</f>
        <v>-0.0533329900405238</v>
      </c>
    </row>
    <row r="211" customFormat="false" ht="15" hidden="false" customHeight="true" outlineLevel="0" collapsed="false">
      <c r="A211" s="7" t="s">
        <v>229</v>
      </c>
      <c r="B211" s="8" t="n">
        <v>45597</v>
      </c>
      <c r="C211" s="8" t="n">
        <v>45624</v>
      </c>
      <c r="D211" s="7" t="s">
        <v>12</v>
      </c>
      <c r="E211" s="9" t="n">
        <v>51550.15</v>
      </c>
      <c r="F211" s="9" t="n">
        <v>51906.85</v>
      </c>
      <c r="G211" s="10" t="n">
        <f aca="false">(F211/E211-1)</f>
        <v>0.00691947550104111</v>
      </c>
      <c r="H211" s="10" t="n">
        <f aca="false">(F211/F210-1)</f>
        <v>0.00838265305626873</v>
      </c>
    </row>
    <row r="212" customFormat="false" ht="15" hidden="false" customHeight="true" outlineLevel="0" collapsed="false">
      <c r="A212" s="13" t="s">
        <v>230</v>
      </c>
      <c r="B212" s="14" t="n">
        <v>45625</v>
      </c>
      <c r="C212" s="14" t="n">
        <v>45652</v>
      </c>
      <c r="D212" s="13" t="s">
        <v>12</v>
      </c>
      <c r="E212" s="15" t="n">
        <v>51984.15</v>
      </c>
      <c r="F212" s="15" t="n">
        <v>51170.7</v>
      </c>
      <c r="G212" s="16" t="n">
        <f aca="false">(F212/E212-1)</f>
        <v>-0.0156480388733875</v>
      </c>
      <c r="H212" s="16" t="n">
        <f aca="false">(F212/F211-1)</f>
        <v>-0.0141821358837996</v>
      </c>
    </row>
    <row r="213" customFormat="false" ht="15" hidden="false" customHeight="true" outlineLevel="0" collapsed="false">
      <c r="A213" s="7" t="s">
        <v>231</v>
      </c>
      <c r="B213" s="8" t="n">
        <v>45653</v>
      </c>
      <c r="C213" s="8" t="n">
        <v>45687</v>
      </c>
      <c r="D213" s="7" t="s">
        <v>12</v>
      </c>
      <c r="E213" s="9" t="n">
        <v>51268.2</v>
      </c>
      <c r="F213" s="9" t="n">
        <v>49311.95</v>
      </c>
      <c r="G213" s="10" t="n">
        <f aca="false">(F213/E213-1)</f>
        <v>-0.0381571812546568</v>
      </c>
      <c r="H213" s="10" t="n">
        <f aca="false">(F213/F212-1)</f>
        <v>-0.0363244981991647</v>
      </c>
    </row>
    <row r="214" customFormat="false" ht="15" hidden="false" customHeight="true" outlineLevel="0" collapsed="false">
      <c r="A214" s="13" t="s">
        <v>232</v>
      </c>
      <c r="B214" s="14" t="n">
        <v>45688</v>
      </c>
      <c r="C214" s="14" t="n">
        <v>45715</v>
      </c>
      <c r="D214" s="13" t="s">
        <v>12</v>
      </c>
      <c r="E214" s="15" t="n">
        <v>49259.65</v>
      </c>
      <c r="F214" s="15" t="n">
        <v>48743.8</v>
      </c>
      <c r="G214" s="16" t="n">
        <f aca="false">(F214/E214-1)</f>
        <v>-0.0104720597893001</v>
      </c>
      <c r="H214" s="16" t="n">
        <f aca="false">(F214/F213-1)</f>
        <v>-0.0115215480223353</v>
      </c>
    </row>
    <row r="215" customFormat="false" ht="15" hidden="false" customHeight="true" outlineLevel="0" collapsed="false">
      <c r="A215" s="7" t="s">
        <v>233</v>
      </c>
      <c r="B215" s="8" t="n">
        <v>45716</v>
      </c>
      <c r="C215" s="8" t="n">
        <v>45743</v>
      </c>
      <c r="D215" s="7" t="s">
        <v>12</v>
      </c>
      <c r="E215" s="9" t="n">
        <v>48437.55</v>
      </c>
      <c r="F215" s="9" t="n">
        <v>51575.85</v>
      </c>
      <c r="G215" s="10" t="n">
        <f aca="false">(F215/E215-1)</f>
        <v>0.0647906427967557</v>
      </c>
      <c r="H215" s="10" t="n">
        <f aca="false">(F215/F214-1)</f>
        <v>0.0581007225534322</v>
      </c>
    </row>
    <row r="216" customFormat="false" ht="15" hidden="false" customHeight="true" outlineLevel="0" collapsed="false">
      <c r="A216" s="13" t="s">
        <v>234</v>
      </c>
      <c r="B216" s="14" t="n">
        <v>45744</v>
      </c>
      <c r="C216" s="14" t="n">
        <v>45771</v>
      </c>
      <c r="D216" s="13" t="s">
        <v>12</v>
      </c>
      <c r="E216" s="15" t="n">
        <v>51608.4</v>
      </c>
      <c r="F216" s="15" t="n">
        <v>55201.4</v>
      </c>
      <c r="G216" s="16" t="n">
        <f aca="false">(F216/E216-1)</f>
        <v>0.0696204493842088</v>
      </c>
      <c r="H216" s="16" t="n">
        <f aca="false">(F216/F215-1)</f>
        <v>0.0702954968265186</v>
      </c>
    </row>
    <row r="217" customFormat="false" ht="15" hidden="false" customHeight="true" outlineLevel="0" collapsed="false">
      <c r="A217" s="7" t="s">
        <v>235</v>
      </c>
      <c r="B217" s="8" t="n">
        <v>45772</v>
      </c>
      <c r="C217" s="8" t="n">
        <v>45806</v>
      </c>
      <c r="D217" s="7" t="s">
        <v>12</v>
      </c>
      <c r="E217" s="9" t="n">
        <v>55233.55</v>
      </c>
      <c r="F217" s="9" t="n">
        <v>55546.05</v>
      </c>
      <c r="G217" s="10" t="n">
        <f aca="false">(F217/E217-1)</f>
        <v>0.00565779313478854</v>
      </c>
      <c r="H217" s="10" t="n">
        <f aca="false">(F217/F216-1)</f>
        <v>0.00624350107062499</v>
      </c>
    </row>
    <row r="218" customFormat="false" ht="15" hidden="false" customHeight="true" outlineLevel="0" collapsed="false">
      <c r="A218" s="13" t="s">
        <v>236</v>
      </c>
      <c r="B218" s="14" t="n">
        <v>45807</v>
      </c>
      <c r="C218" s="14" t="n">
        <v>45834</v>
      </c>
      <c r="D218" s="13" t="s">
        <v>12</v>
      </c>
      <c r="E218" s="15" t="n">
        <v>55615.55</v>
      </c>
      <c r="F218" s="15" t="n">
        <v>57206.7</v>
      </c>
      <c r="G218" s="16" t="n">
        <f aca="false">(F218/E218-1)</f>
        <v>0.0286098042723661</v>
      </c>
      <c r="H218" s="16" t="n">
        <f aca="false">(F218/F217-1)</f>
        <v>0.0298968153451054</v>
      </c>
    </row>
    <row r="219" customFormat="false" ht="15" hidden="false" customHeight="true" outlineLevel="0" collapsed="false">
      <c r="A219" s="7" t="s">
        <v>237</v>
      </c>
      <c r="B219" s="8" t="n">
        <v>45835</v>
      </c>
      <c r="C219" s="8" t="n">
        <v>45869</v>
      </c>
      <c r="D219" s="7" t="s">
        <v>12</v>
      </c>
      <c r="E219" s="9" t="n">
        <v>57234.7</v>
      </c>
      <c r="F219" s="9" t="n">
        <v>55961.95</v>
      </c>
      <c r="G219" s="10" t="n">
        <f aca="false">(F219/E219-1)</f>
        <v>-0.0222373839646228</v>
      </c>
      <c r="H219" s="10" t="n">
        <f aca="false">(F219/F218-1)</f>
        <v>-0.0217588149639815</v>
      </c>
    </row>
    <row r="220" customFormat="false" ht="15" hidden="false" customHeight="true" outlineLevel="0" collapsed="false">
      <c r="A220" s="13" t="s">
        <v>238</v>
      </c>
      <c r="B220" s="14" t="n">
        <v>45870</v>
      </c>
      <c r="C220" s="14" t="n">
        <v>45897</v>
      </c>
      <c r="D220" s="13" t="s">
        <v>12</v>
      </c>
      <c r="E220" s="15" t="n">
        <v>55897.15</v>
      </c>
      <c r="F220" s="15" t="n">
        <v>53820.35</v>
      </c>
      <c r="G220" s="16" t="n">
        <f aca="false">(F220/E220-1)</f>
        <v>-0.0371539514984217</v>
      </c>
      <c r="H220" s="16" t="n">
        <f aca="false">(F220/F219-1)</f>
        <v>-0.0382688594661194</v>
      </c>
    </row>
    <row r="221" customFormat="false" ht="15" hidden="false" customHeight="true" outlineLevel="0" collapsed="false">
      <c r="A221" s="7" t="s">
        <v>239</v>
      </c>
      <c r="B221" s="8" t="n">
        <v>45898</v>
      </c>
      <c r="C221" s="8" t="n">
        <v>45930</v>
      </c>
      <c r="D221" s="7" t="s">
        <v>72</v>
      </c>
      <c r="E221" s="9" t="n">
        <v>53660.35</v>
      </c>
      <c r="F221" s="9" t="n">
        <v>54635.85</v>
      </c>
      <c r="G221" s="10" t="n">
        <f aca="false">(F221/E221-1)</f>
        <v>0.0181791583543529</v>
      </c>
      <c r="H221" s="10" t="n">
        <f aca="false">(F221/F220-1)</f>
        <v>0.0151522611800183</v>
      </c>
    </row>
    <row r="222" customFormat="false" ht="15" hidden="false" customHeight="true" outlineLevel="0" collapsed="false">
      <c r="A222" s="13" t="s">
        <v>240</v>
      </c>
      <c r="B222" s="14" t="n">
        <v>45931</v>
      </c>
      <c r="C222" s="14" t="n">
        <v>45958</v>
      </c>
      <c r="D222" s="13" t="s">
        <v>72</v>
      </c>
      <c r="E222" s="15" t="n">
        <v>54653.9</v>
      </c>
      <c r="F222" s="15" t="n">
        <v>58214.1</v>
      </c>
      <c r="G222" s="16" t="n">
        <f aca="false">(F222/E222-1)</f>
        <v>0.065140822521357</v>
      </c>
      <c r="H222" s="16" t="n">
        <f aca="false">(F222/F221-1)</f>
        <v>0.065492712202702</v>
      </c>
    </row>
    <row r="223" customFormat="false" ht="15" hidden="false" customHeight="true" outlineLevel="0" collapsed="false">
      <c r="A223" s="7" t="s">
        <v>241</v>
      </c>
      <c r="B223" s="8" t="n">
        <v>45959</v>
      </c>
      <c r="C223" s="8" t="n">
        <v>45986</v>
      </c>
      <c r="D223" s="7" t="s">
        <v>72</v>
      </c>
      <c r="E223" s="9" t="n">
        <v>58316.25</v>
      </c>
      <c r="F223" s="9" t="n">
        <v>58820.3</v>
      </c>
      <c r="G223" s="10" t="n">
        <f aca="false">(F223/E223-1)</f>
        <v>0.00864338842089474</v>
      </c>
      <c r="H223" s="10" t="n">
        <f aca="false">(F223/F222-1)</f>
        <v>0.0104132847540372</v>
      </c>
    </row>
    <row r="224" customFormat="false" ht="15" hidden="false" customHeight="true" outlineLevel="0" collapsed="false">
      <c r="A224" s="13" t="s">
        <v>242</v>
      </c>
      <c r="B224" s="14" t="n">
        <v>45987</v>
      </c>
      <c r="C224" s="14" t="n">
        <v>46021</v>
      </c>
      <c r="D224" s="13" t="s">
        <v>72</v>
      </c>
      <c r="E224" s="15" t="n">
        <v>58783.05</v>
      </c>
      <c r="F224" s="15" t="n">
        <v>59171.25</v>
      </c>
      <c r="G224" s="16" t="n">
        <f aca="false">(F224/E224-1)</f>
        <v>0.0066039445044106</v>
      </c>
      <c r="H224" s="16" t="n">
        <f aca="false">(F224/F223-1)</f>
        <v>0.00596647755961799</v>
      </c>
    </row>
    <row r="225" customFormat="false" ht="15" hidden="false" customHeight="true" outlineLevel="0" collapsed="false">
      <c r="A225" s="7" t="s">
        <v>243</v>
      </c>
      <c r="B225" s="8" t="n">
        <v>46022</v>
      </c>
      <c r="C225" s="8" t="n">
        <v>46049</v>
      </c>
      <c r="D225" s="7" t="s">
        <v>72</v>
      </c>
      <c r="E225" s="9" t="n">
        <v>59194.6</v>
      </c>
      <c r="F225" s="9" t="n">
        <v>59205.45</v>
      </c>
      <c r="G225" s="10" t="n">
        <f aca="false">(F225/E225-1)</f>
        <v>0.000183293746389035</v>
      </c>
      <c r="H225" s="10" t="n">
        <f aca="false">(F225/F224-1)</f>
        <v>0.000577983395652293</v>
      </c>
    </row>
    <row r="226" customFormat="false" ht="15" hidden="false" customHeight="true" outlineLevel="0" collapsed="false">
      <c r="A226" s="13" t="s">
        <v>244</v>
      </c>
      <c r="B226" s="14" t="n">
        <v>46050</v>
      </c>
      <c r="C226" s="14" t="n">
        <v>46077</v>
      </c>
      <c r="D226" s="13" t="s">
        <v>72</v>
      </c>
      <c r="E226" s="15" t="n">
        <v>59575.65</v>
      </c>
      <c r="F226" s="15" t="n">
        <v>61047.3</v>
      </c>
      <c r="G226" s="16" t="n">
        <f aca="false">(F226/E226-1)</f>
        <v>0.0247022063544418</v>
      </c>
      <c r="H226" s="16" t="n">
        <f aca="false">(F226/F225-1)</f>
        <v>0.0311094671183143</v>
      </c>
    </row>
    <row r="227" customFormat="false" ht="15" hidden="false" customHeight="true" outlineLevel="0" collapsed="false">
      <c r="A227" s="7" t="s">
        <v>245</v>
      </c>
      <c r="B227" s="8" t="n">
        <v>46078</v>
      </c>
      <c r="C227" s="8" t="n">
        <v>46111</v>
      </c>
      <c r="D227" s="7" t="s">
        <v>246</v>
      </c>
      <c r="E227" s="9" t="n">
        <v>61175.05</v>
      </c>
      <c r="F227" s="9" t="n">
        <v>50275.35</v>
      </c>
      <c r="G227" s="10" t="n">
        <f aca="false">(F227/E227-1)</f>
        <v>-0.178172310443555</v>
      </c>
      <c r="H227" s="10" t="n">
        <f aca="false">(F227/F226-1)</f>
        <v>-0.176452521241726</v>
      </c>
    </row>
    <row r="228" customFormat="false" ht="15" hidden="false" customHeight="true" outlineLevel="0" collapsed="false">
      <c r="A228" s="13" t="s">
        <v>247</v>
      </c>
      <c r="B228" s="14" t="n">
        <v>46113</v>
      </c>
      <c r="C228" s="14" t="n">
        <v>46140</v>
      </c>
      <c r="D228" s="13" t="s">
        <v>72</v>
      </c>
      <c r="E228" s="15" t="n">
        <v>51433.9</v>
      </c>
      <c r="F228" s="15" t="n">
        <v>55400.35</v>
      </c>
      <c r="G228" s="16" t="n">
        <f aca="false">(F228/E228-1)</f>
        <v>0.0771174264444268</v>
      </c>
      <c r="H228" s="16" t="n">
        <f aca="false">(F228/F227-1)</f>
        <v>0.101938623997645</v>
      </c>
    </row>
    <row r="229" customFormat="false" ht="15" hidden="false" customHeight="true" outlineLevel="0" collapsed="false">
      <c r="A229" s="7" t="s">
        <v>248</v>
      </c>
      <c r="B229" s="8" t="n">
        <v>46141</v>
      </c>
      <c r="C229" s="8" t="n">
        <v>46168</v>
      </c>
      <c r="D229" s="7" t="s">
        <v>72</v>
      </c>
      <c r="E229" s="9" t="n">
        <v>55634.5</v>
      </c>
      <c r="F229" s="9" t="n">
        <v>55092.9</v>
      </c>
      <c r="G229" s="10" t="n">
        <f aca="false">(F229/E229-1)</f>
        <v>-0.00973496661244366</v>
      </c>
      <c r="H229" s="10" t="n">
        <f aca="false">(F229/F228-1)</f>
        <v>-0.00554960392849502</v>
      </c>
    </row>
  </sheetData>
  <mergeCells count="2">
    <mergeCell ref="A1:H1"/>
    <mergeCell ref="A2:H2"/>
  </mergeCells>
  <conditionalFormatting sqref="G5:G229">
    <cfRule type="cellIs" priority="2" operator="greaterThan" aboveAverage="0" equalAverage="0" bottom="0" percent="0" rank="0" text="" dxfId="0">
      <formula>0</formula>
    </cfRule>
    <cfRule type="cellIs" priority="3" operator="lessThan" aboveAverage="0" equalAverage="0" bottom="0" percent="0" rank="0" text="" dxfId="1">
      <formula>0</formula>
    </cfRule>
  </conditionalFormatting>
  <conditionalFormatting sqref="H5:H229">
    <cfRule type="cellIs" priority="4" operator="greaterThan" aboveAverage="0" equalAverage="0" bottom="0" percent="0" rank="0" text="" dxfId="0">
      <formula>0</formula>
    </cfRule>
    <cfRule type="cellIs" priority="5" operator="lessThan" aboveAverage="0" equalAverage="0" bottom="0" percent="0" rank="0" text="" dxfId="1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5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2" topLeftCell="B3" activePane="bottomRight" state="frozen"/>
      <selection pane="topLeft" activeCell="A1" activeCellId="0" sqref="A1"/>
      <selection pane="topRight" activeCell="B1" activeCellId="0" sqref="B1"/>
      <selection pane="bottomLeft" activeCell="A3" activeCellId="0" sqref="A3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8"/>
    <col collapsed="false" customWidth="true" hidden="false" outlineLevel="0" max="13" min="2" style="0" width="7.5"/>
    <col collapsed="false" customWidth="true" hidden="false" outlineLevel="0" max="14" min="14" style="0" width="11"/>
  </cols>
  <sheetData>
    <row r="1" customFormat="false" ht="25.5" hidden="false" customHeight="true" outlineLevel="0" collapsed="false">
      <c r="A1" s="2" t="s">
        <v>249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</row>
    <row r="2" customFormat="false" ht="19.5" hidden="false" customHeight="true" outlineLevel="0" collapsed="false">
      <c r="A2" s="19" t="s">
        <v>250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</row>
    <row r="3" customFormat="false" ht="15" hidden="false" customHeight="false" outlineLevel="0" collapsed="false">
      <c r="A3" s="20" t="s">
        <v>251</v>
      </c>
      <c r="B3" s="20" t="s">
        <v>252</v>
      </c>
      <c r="C3" s="20" t="s">
        <v>253</v>
      </c>
      <c r="D3" s="20" t="s">
        <v>254</v>
      </c>
      <c r="E3" s="20" t="s">
        <v>255</v>
      </c>
      <c r="F3" s="20" t="s">
        <v>256</v>
      </c>
      <c r="G3" s="20" t="s">
        <v>257</v>
      </c>
      <c r="H3" s="20" t="s">
        <v>258</v>
      </c>
      <c r="I3" s="20" t="s">
        <v>259</v>
      </c>
      <c r="J3" s="20" t="s">
        <v>260</v>
      </c>
      <c r="K3" s="20" t="s">
        <v>261</v>
      </c>
      <c r="L3" s="20" t="s">
        <v>262</v>
      </c>
      <c r="M3" s="20" t="s">
        <v>263</v>
      </c>
      <c r="N3" s="20" t="s">
        <v>264</v>
      </c>
    </row>
    <row r="4" customFormat="false" ht="15" hidden="false" customHeight="false" outlineLevel="0" collapsed="false">
      <c r="A4" s="21" t="s">
        <v>265</v>
      </c>
      <c r="B4" s="22"/>
      <c r="C4" s="22"/>
      <c r="D4" s="22"/>
      <c r="E4" s="22"/>
      <c r="F4" s="22"/>
      <c r="G4" s="22"/>
      <c r="H4" s="22"/>
      <c r="I4" s="22"/>
      <c r="J4" s="22" t="n">
        <v>16.59</v>
      </c>
      <c r="K4" s="22" t="n">
        <v>12.54</v>
      </c>
      <c r="L4" s="22" t="n">
        <v>1.68</v>
      </c>
      <c r="M4" s="22" t="n">
        <v>5.03</v>
      </c>
      <c r="N4" s="23" t="n">
        <v>42.99</v>
      </c>
    </row>
    <row r="5" customFormat="false" ht="15" hidden="false" customHeight="false" outlineLevel="0" collapsed="false">
      <c r="A5" s="21" t="s">
        <v>266</v>
      </c>
      <c r="B5" s="22" t="n">
        <v>-6.04</v>
      </c>
      <c r="C5" s="22" t="n">
        <v>-6.78</v>
      </c>
      <c r="D5" s="22" t="n">
        <v>-21.34</v>
      </c>
      <c r="E5" s="22" t="n">
        <v>13.75</v>
      </c>
      <c r="F5" s="22" t="n">
        <v>-15.3</v>
      </c>
      <c r="G5" s="22" t="n">
        <v>-23.57</v>
      </c>
      <c r="H5" s="22" t="n">
        <v>13.64</v>
      </c>
      <c r="I5" s="22" t="n">
        <v>7.9</v>
      </c>
      <c r="J5" s="22" t="n">
        <v>-4.4</v>
      </c>
      <c r="K5" s="22" t="n">
        <v>-23.04</v>
      </c>
      <c r="L5" s="22" t="n">
        <v>-10.45</v>
      </c>
      <c r="M5" s="22" t="n">
        <v>15.84</v>
      </c>
      <c r="N5" s="23" t="n">
        <v>-49.07</v>
      </c>
    </row>
    <row r="6" customFormat="false" ht="15" hidden="false" customHeight="false" outlineLevel="0" collapsed="false">
      <c r="A6" s="21" t="s">
        <v>267</v>
      </c>
      <c r="B6" s="22" t="n">
        <v>-13.54</v>
      </c>
      <c r="C6" s="22" t="n">
        <v>-11.61</v>
      </c>
      <c r="D6" s="22" t="n">
        <v>7.88</v>
      </c>
      <c r="E6" s="22" t="n">
        <v>23.53</v>
      </c>
      <c r="F6" s="22" t="n">
        <v>40.12</v>
      </c>
      <c r="G6" s="22" t="n">
        <v>-2.92</v>
      </c>
      <c r="H6" s="22" t="n">
        <v>3</v>
      </c>
      <c r="I6" s="22" t="n">
        <v>-1.75</v>
      </c>
      <c r="J6" s="22" t="n">
        <v>18.13</v>
      </c>
      <c r="K6" s="22" t="n">
        <v>-4.49</v>
      </c>
      <c r="L6" s="22" t="n">
        <v>8.06</v>
      </c>
      <c r="M6" s="22" t="n">
        <v>-0.29</v>
      </c>
      <c r="N6" s="23" t="n">
        <v>75.19</v>
      </c>
    </row>
    <row r="7" customFormat="false" ht="15" hidden="false" customHeight="false" outlineLevel="0" collapsed="false">
      <c r="A7" s="21" t="s">
        <v>268</v>
      </c>
      <c r="B7" s="22" t="n">
        <v>-4.21</v>
      </c>
      <c r="C7" s="22" t="n">
        <v>1.46</v>
      </c>
      <c r="D7" s="22" t="n">
        <v>7.17</v>
      </c>
      <c r="E7" s="22" t="n">
        <v>4.29</v>
      </c>
      <c r="F7" s="22" t="n">
        <v>-4.54</v>
      </c>
      <c r="G7" s="22" t="n">
        <v>1.42</v>
      </c>
      <c r="H7" s="22" t="n">
        <v>8.05</v>
      </c>
      <c r="I7" s="22" t="n">
        <v>4.76</v>
      </c>
      <c r="J7" s="22" t="n">
        <v>14.91</v>
      </c>
      <c r="K7" s="22" t="n">
        <v>-0.49</v>
      </c>
      <c r="L7" s="22" t="n">
        <v>-4.27</v>
      </c>
      <c r="M7" s="22" t="n">
        <v>-1.64</v>
      </c>
      <c r="N7" s="23" t="n">
        <v>30.55</v>
      </c>
    </row>
    <row r="8" customFormat="false" ht="15" hidden="false" customHeight="false" outlineLevel="0" collapsed="false">
      <c r="A8" s="21" t="s">
        <v>269</v>
      </c>
      <c r="B8" s="22" t="n">
        <v>-10.44</v>
      </c>
      <c r="C8" s="22" t="n">
        <v>-2.32</v>
      </c>
      <c r="D8" s="22" t="n">
        <v>11.04</v>
      </c>
      <c r="E8" s="22" t="n">
        <v>-1.96</v>
      </c>
      <c r="F8" s="22" t="n">
        <v>-4.24</v>
      </c>
      <c r="G8" s="22" t="n">
        <v>2.12</v>
      </c>
      <c r="H8" s="22" t="n">
        <v>-4.1</v>
      </c>
      <c r="I8" s="22" t="n">
        <v>-13.44</v>
      </c>
      <c r="J8" s="22" t="n">
        <v>-2.46</v>
      </c>
      <c r="K8" s="22" t="n">
        <v>7.04</v>
      </c>
      <c r="L8" s="22" t="n">
        <v>-13.48</v>
      </c>
      <c r="M8" s="22" t="n">
        <v>-10.19</v>
      </c>
      <c r="N8" s="23" t="n">
        <v>-32.94</v>
      </c>
    </row>
    <row r="9" customFormat="false" ht="15" hidden="false" customHeight="false" outlineLevel="0" collapsed="false">
      <c r="A9" s="21" t="s">
        <v>270</v>
      </c>
      <c r="B9" s="22" t="n">
        <v>23.84</v>
      </c>
      <c r="C9" s="22" t="n">
        <v>4.75</v>
      </c>
      <c r="D9" s="22" t="n">
        <v>-1.66</v>
      </c>
      <c r="E9" s="22" t="n">
        <v>0.88</v>
      </c>
      <c r="F9" s="22" t="n">
        <v>-8.19</v>
      </c>
      <c r="G9" s="22" t="n">
        <v>9.61</v>
      </c>
      <c r="H9" s="22" t="n">
        <v>0.17</v>
      </c>
      <c r="I9" s="22" t="n">
        <v>-3.45</v>
      </c>
      <c r="J9" s="22" t="n">
        <v>14.22</v>
      </c>
      <c r="K9" s="22" t="n">
        <v>-1.69</v>
      </c>
      <c r="L9" s="22" t="n">
        <v>7.92</v>
      </c>
      <c r="M9" s="22" t="n">
        <v>2.87</v>
      </c>
      <c r="N9" s="23" t="n">
        <v>55.74</v>
      </c>
    </row>
    <row r="10" customFormat="false" ht="15" hidden="false" customHeight="false" outlineLevel="0" collapsed="false">
      <c r="A10" s="21" t="s">
        <v>271</v>
      </c>
      <c r="B10" s="22" t="n">
        <v>1.26</v>
      </c>
      <c r="C10" s="22" t="n">
        <v>-9.68</v>
      </c>
      <c r="D10" s="22" t="n">
        <v>-1.48</v>
      </c>
      <c r="E10" s="22" t="n">
        <v>10.04</v>
      </c>
      <c r="F10" s="22" t="n">
        <v>-0.63</v>
      </c>
      <c r="G10" s="22" t="n">
        <v>-6.71</v>
      </c>
      <c r="H10" s="22" t="n">
        <v>-13.64</v>
      </c>
      <c r="I10" s="22" t="n">
        <v>-10.67</v>
      </c>
      <c r="J10" s="22" t="n">
        <v>5.54</v>
      </c>
      <c r="K10" s="22" t="n">
        <v>18.46</v>
      </c>
      <c r="L10" s="22" t="n">
        <v>-2.77</v>
      </c>
      <c r="M10" s="22" t="n">
        <v>1.83</v>
      </c>
      <c r="N10" s="23" t="n">
        <v>-9.28</v>
      </c>
    </row>
    <row r="11" customFormat="false" ht="15" hidden="false" customHeight="false" outlineLevel="0" collapsed="false">
      <c r="A11" s="21" t="s">
        <v>272</v>
      </c>
      <c r="B11" s="22" t="n">
        <v>-10.34</v>
      </c>
      <c r="C11" s="22" t="n">
        <v>5.48</v>
      </c>
      <c r="D11" s="22" t="n">
        <v>19.02</v>
      </c>
      <c r="E11" s="22" t="n">
        <v>0.39</v>
      </c>
      <c r="F11" s="22" t="n">
        <v>14.5</v>
      </c>
      <c r="G11" s="22" t="n">
        <v>3.08</v>
      </c>
      <c r="H11" s="22" t="n">
        <v>-0.14</v>
      </c>
      <c r="I11" s="22" t="n">
        <v>3.98</v>
      </c>
      <c r="J11" s="22" t="n">
        <v>-2.52</v>
      </c>
      <c r="K11" s="22" t="n">
        <v>10.89</v>
      </c>
      <c r="L11" s="22" t="n">
        <v>8.35</v>
      </c>
      <c r="M11" s="22" t="n">
        <v>0.81</v>
      </c>
      <c r="N11" s="23" t="n">
        <v>64.08</v>
      </c>
    </row>
    <row r="12" customFormat="false" ht="15" hidden="false" customHeight="false" outlineLevel="0" collapsed="false">
      <c r="A12" s="21" t="s">
        <v>273</v>
      </c>
      <c r="B12" s="22" t="n">
        <v>5.96</v>
      </c>
      <c r="C12" s="22" t="n">
        <v>-3.56</v>
      </c>
      <c r="D12" s="22" t="n">
        <v>-8.76</v>
      </c>
      <c r="E12" s="22" t="n">
        <v>0.73</v>
      </c>
      <c r="F12" s="22" t="n">
        <v>1.65</v>
      </c>
      <c r="G12" s="22" t="n">
        <v>-2.27</v>
      </c>
      <c r="H12" s="22" t="n">
        <v>2.49</v>
      </c>
      <c r="I12" s="22" t="n">
        <v>-8.71</v>
      </c>
      <c r="J12" s="22" t="n">
        <v>1.37</v>
      </c>
      <c r="K12" s="22" t="n">
        <v>-0.05</v>
      </c>
      <c r="L12" s="22" t="n">
        <v>0.46</v>
      </c>
      <c r="M12" s="22" t="n">
        <v>-3.06</v>
      </c>
      <c r="N12" s="23" t="n">
        <v>-9.64</v>
      </c>
    </row>
    <row r="13" customFormat="false" ht="15" hidden="false" customHeight="false" outlineLevel="0" collapsed="false">
      <c r="A13" s="21" t="s">
        <v>274</v>
      </c>
      <c r="B13" s="22" t="n">
        <v>-8.33</v>
      </c>
      <c r="C13" s="22" t="n">
        <v>-10.3</v>
      </c>
      <c r="D13" s="22" t="n">
        <v>14.77</v>
      </c>
      <c r="E13" s="22" t="n">
        <v>4.32</v>
      </c>
      <c r="F13" s="22" t="n">
        <v>6.06</v>
      </c>
      <c r="G13" s="22" t="n">
        <v>1.5</v>
      </c>
      <c r="H13" s="22" t="n">
        <v>5.18</v>
      </c>
      <c r="I13" s="22" t="n">
        <v>4.72</v>
      </c>
      <c r="J13" s="22" t="n">
        <v>-2.63</v>
      </c>
      <c r="K13" s="22" t="n">
        <v>0.83</v>
      </c>
      <c r="L13" s="22" t="n">
        <v>-4.86</v>
      </c>
      <c r="M13" s="22" t="n">
        <v>-2.67</v>
      </c>
      <c r="N13" s="23" t="n">
        <v>7.35</v>
      </c>
    </row>
    <row r="14" customFormat="false" ht="15" hidden="false" customHeight="false" outlineLevel="0" collapsed="false">
      <c r="A14" s="21" t="s">
        <v>275</v>
      </c>
      <c r="B14" s="22" t="n">
        <v>6.98</v>
      </c>
      <c r="C14" s="22" t="n">
        <v>5.56</v>
      </c>
      <c r="D14" s="22" t="n">
        <v>3.6</v>
      </c>
      <c r="E14" s="22" t="n">
        <v>3.8</v>
      </c>
      <c r="F14" s="22" t="n">
        <v>4.52</v>
      </c>
      <c r="G14" s="22" t="n">
        <v>-0.78</v>
      </c>
      <c r="H14" s="22" t="n">
        <v>8.02</v>
      </c>
      <c r="I14" s="22" t="n">
        <v>-3.32</v>
      </c>
      <c r="J14" s="22" t="n">
        <v>-1.38</v>
      </c>
      <c r="K14" s="22" t="n">
        <v>3.38</v>
      </c>
      <c r="L14" s="22" t="n">
        <v>0.54</v>
      </c>
      <c r="M14" s="22" t="n">
        <v>0.51</v>
      </c>
      <c r="N14" s="23" t="n">
        <v>40</v>
      </c>
    </row>
    <row r="15" customFormat="false" ht="15" hidden="false" customHeight="false" outlineLevel="0" collapsed="false">
      <c r="A15" s="21" t="s">
        <v>276</v>
      </c>
      <c r="B15" s="22" t="n">
        <v>7.09</v>
      </c>
      <c r="C15" s="22" t="n">
        <v>-8.15</v>
      </c>
      <c r="D15" s="22" t="n">
        <v>-3.03</v>
      </c>
      <c r="E15" s="22" t="n">
        <v>5.35</v>
      </c>
      <c r="F15" s="22" t="n">
        <v>5.27</v>
      </c>
      <c r="G15" s="22" t="n">
        <v>-2.04</v>
      </c>
      <c r="H15" s="22" t="n">
        <v>5.31</v>
      </c>
      <c r="I15" s="22" t="n">
        <v>1.36</v>
      </c>
      <c r="J15" s="22" t="n">
        <v>-10.92</v>
      </c>
      <c r="K15" s="22" t="n">
        <v>0.84</v>
      </c>
      <c r="L15" s="22" t="n">
        <v>6.24</v>
      </c>
      <c r="M15" s="22" t="n">
        <v>0.47</v>
      </c>
      <c r="N15" s="23" t="n">
        <v>6.24</v>
      </c>
    </row>
    <row r="16" customFormat="false" ht="15" hidden="false" customHeight="false" outlineLevel="0" collapsed="false">
      <c r="A16" s="21" t="s">
        <v>277</v>
      </c>
      <c r="B16" s="22" t="n">
        <v>0.24</v>
      </c>
      <c r="C16" s="22" t="n">
        <v>-1.99</v>
      </c>
      <c r="D16" s="22" t="n">
        <v>12.92</v>
      </c>
      <c r="E16" s="22" t="n">
        <v>-2.53</v>
      </c>
      <c r="F16" s="22" t="n">
        <v>5.64</v>
      </c>
      <c r="G16" s="22" t="n">
        <v>-0.96</v>
      </c>
      <c r="H16" s="22" t="n">
        <v>-7.66</v>
      </c>
      <c r="I16" s="22" t="n">
        <v>-4.3</v>
      </c>
      <c r="J16" s="22" t="n">
        <v>6.84</v>
      </c>
      <c r="K16" s="22" t="n">
        <v>2.87</v>
      </c>
      <c r="L16" s="22" t="n">
        <v>5.8</v>
      </c>
      <c r="M16" s="22" t="n">
        <v>0.48</v>
      </c>
      <c r="N16" s="23" t="n">
        <v>18.11</v>
      </c>
    </row>
    <row r="17" customFormat="false" ht="15" hidden="false" customHeight="false" outlineLevel="0" collapsed="false">
      <c r="A17" s="21" t="s">
        <v>278</v>
      </c>
      <c r="B17" s="22" t="n">
        <v>-4.36</v>
      </c>
      <c r="C17" s="22" t="n">
        <v>-2.23</v>
      </c>
      <c r="D17" s="22" t="n">
        <v>-35.54</v>
      </c>
      <c r="E17" s="22" t="n">
        <v>12.61</v>
      </c>
      <c r="F17" s="22" t="n">
        <v>-5.93</v>
      </c>
      <c r="G17" s="22" t="n">
        <v>8.32</v>
      </c>
      <c r="H17" s="22" t="n">
        <v>1.34</v>
      </c>
      <c r="I17" s="22" t="n">
        <v>10.26</v>
      </c>
      <c r="J17" s="22" t="n">
        <v>-10.22</v>
      </c>
      <c r="K17" s="22" t="n">
        <v>10.22</v>
      </c>
      <c r="L17" s="22" t="n">
        <v>21.51</v>
      </c>
      <c r="M17" s="22" t="n">
        <v>4.76</v>
      </c>
      <c r="N17" s="23" t="n">
        <v>-3.02</v>
      </c>
    </row>
    <row r="18" customFormat="false" ht="15" hidden="false" customHeight="false" outlineLevel="0" collapsed="false">
      <c r="A18" s="21" t="s">
        <v>279</v>
      </c>
      <c r="B18" s="22" t="n">
        <v>-2.34</v>
      </c>
      <c r="C18" s="22" t="n">
        <v>12.36</v>
      </c>
      <c r="D18" s="22" t="n">
        <v>-5.85</v>
      </c>
      <c r="E18" s="22" t="n">
        <v>-2.4</v>
      </c>
      <c r="F18" s="22" t="n">
        <v>9.76</v>
      </c>
      <c r="G18" s="22" t="n">
        <v>-2.43</v>
      </c>
      <c r="H18" s="22" t="n">
        <v>-0.81</v>
      </c>
      <c r="I18" s="22" t="n">
        <v>4.79</v>
      </c>
      <c r="J18" s="22" t="n">
        <v>2.28</v>
      </c>
      <c r="K18" s="22" t="n">
        <v>5.32</v>
      </c>
      <c r="L18" s="22" t="n">
        <v>-9.48</v>
      </c>
      <c r="M18" s="22" t="n">
        <v>-1.17</v>
      </c>
      <c r="N18" s="23" t="n">
        <v>13.37</v>
      </c>
    </row>
    <row r="19" customFormat="false" ht="15" hidden="false" customHeight="false" outlineLevel="0" collapsed="false">
      <c r="A19" s="21" t="s">
        <v>280</v>
      </c>
      <c r="B19" s="22" t="n">
        <v>6.72</v>
      </c>
      <c r="C19" s="22" t="n">
        <v>-5.86</v>
      </c>
      <c r="D19" s="22" t="n">
        <v>2.8</v>
      </c>
      <c r="E19" s="22" t="n">
        <v>-0.58</v>
      </c>
      <c r="F19" s="22" t="n">
        <v>-0.39</v>
      </c>
      <c r="G19" s="22" t="n">
        <v>-5.47</v>
      </c>
      <c r="H19" s="22" t="n">
        <v>12.71</v>
      </c>
      <c r="I19" s="22" t="n">
        <v>5.17</v>
      </c>
      <c r="J19" s="22" t="n">
        <v>-0.45</v>
      </c>
      <c r="K19" s="22" t="n">
        <v>7.45</v>
      </c>
      <c r="L19" s="22" t="n">
        <v>4.04</v>
      </c>
      <c r="M19" s="22" t="n">
        <v>-1.21</v>
      </c>
      <c r="N19" s="23" t="n">
        <v>20.8</v>
      </c>
    </row>
    <row r="20" customFormat="false" ht="15" hidden="false" customHeight="false" outlineLevel="0" collapsed="false">
      <c r="A20" s="21" t="s">
        <v>281</v>
      </c>
      <c r="B20" s="22" t="n">
        <v>-5.54</v>
      </c>
      <c r="C20" s="22" t="n">
        <v>-2.06</v>
      </c>
      <c r="D20" s="22" t="n">
        <v>0.33</v>
      </c>
      <c r="E20" s="22" t="n">
        <v>6.24</v>
      </c>
      <c r="F20" s="22" t="n">
        <v>1.69</v>
      </c>
      <c r="G20" s="22" t="n">
        <v>1.3</v>
      </c>
      <c r="H20" s="22" t="n">
        <v>1.54</v>
      </c>
      <c r="I20" s="22" t="n">
        <v>-3.83</v>
      </c>
      <c r="J20" s="22" t="n">
        <v>1.34</v>
      </c>
      <c r="K20" s="22" t="n">
        <v>-3.85</v>
      </c>
      <c r="L20" s="22" t="n">
        <v>4.19</v>
      </c>
      <c r="M20" s="22" t="n">
        <v>8.33</v>
      </c>
      <c r="N20" s="23" t="n">
        <v>12.21</v>
      </c>
    </row>
    <row r="21" customFormat="false" ht="15" hidden="false" customHeight="false" outlineLevel="0" collapsed="false">
      <c r="A21" s="21" t="s">
        <v>282</v>
      </c>
      <c r="B21" s="22" t="n">
        <v>-4.58</v>
      </c>
      <c r="C21" s="22" t="n">
        <v>-0.1</v>
      </c>
      <c r="D21" s="22" t="n">
        <v>1.96</v>
      </c>
      <c r="E21" s="22" t="n">
        <v>4.23</v>
      </c>
      <c r="F21" s="22" t="n">
        <v>-0.56</v>
      </c>
      <c r="G21" s="22" t="n">
        <v>2.85</v>
      </c>
      <c r="H21" s="22" t="n">
        <v>-1.52</v>
      </c>
      <c r="I21" s="22" t="n">
        <v>-0.62</v>
      </c>
      <c r="J21" s="22" t="n">
        <v>2.71</v>
      </c>
      <c r="K21" s="22" t="n">
        <v>-2.59</v>
      </c>
      <c r="L21" s="22" t="n">
        <v>0.98</v>
      </c>
      <c r="M21" s="22" t="n">
        <v>-2.36</v>
      </c>
      <c r="N21" s="23" t="n">
        <v>5.51</v>
      </c>
    </row>
    <row r="22" customFormat="false" ht="15" hidden="false" customHeight="false" outlineLevel="0" collapsed="false">
      <c r="A22" s="21" t="s">
        <v>283</v>
      </c>
      <c r="B22" s="22" t="n">
        <v>-2.47</v>
      </c>
      <c r="C22" s="22" t="n">
        <v>-1.49</v>
      </c>
      <c r="D22" s="22" t="n">
        <v>6.37</v>
      </c>
      <c r="E22" s="22" t="n">
        <v>7.64</v>
      </c>
      <c r="F22" s="22" t="n">
        <v>1.18</v>
      </c>
      <c r="G22" s="22" t="n">
        <v>3.08</v>
      </c>
      <c r="H22" s="22" t="n">
        <v>-2.46</v>
      </c>
      <c r="I22" s="22" t="n">
        <v>-4.01</v>
      </c>
      <c r="J22" s="22" t="n">
        <v>1.82</v>
      </c>
      <c r="K22" s="22" t="n">
        <v>5.71</v>
      </c>
      <c r="L22" s="22" t="n">
        <v>3.51</v>
      </c>
      <c r="M22" s="22" t="n">
        <v>-0.87</v>
      </c>
      <c r="N22" s="23" t="n">
        <v>17.19</v>
      </c>
    </row>
    <row r="23" customFormat="false" ht="15" hidden="false" customHeight="false" outlineLevel="0" collapsed="false">
      <c r="A23" s="21" t="s">
        <v>284</v>
      </c>
      <c r="B23" s="22" t="n">
        <v>-0.11</v>
      </c>
      <c r="C23" s="22" t="n">
        <v>3.93</v>
      </c>
      <c r="D23" s="22" t="n">
        <v>-15.08</v>
      </c>
      <c r="E23" s="22" t="n">
        <v>6.67</v>
      </c>
      <c r="F23" s="22" t="n">
        <v>-1.27</v>
      </c>
      <c r="G23" s="22" t="n">
        <v>5.97</v>
      </c>
      <c r="H23" s="22"/>
      <c r="I23" s="22"/>
      <c r="J23" s="22"/>
      <c r="K23" s="22"/>
      <c r="L23" s="22"/>
      <c r="M23" s="22"/>
      <c r="N23" s="23" t="n">
        <v>-3.39</v>
      </c>
    </row>
    <row r="24" customFormat="false" ht="15" hidden="false" customHeight="false" outlineLevel="0" collapsed="false">
      <c r="A24" s="24" t="s">
        <v>285</v>
      </c>
      <c r="B24" s="25" t="n">
        <f aca="false">AVERAGE(B4:B23)</f>
        <v>-1.06368421052632</v>
      </c>
      <c r="C24" s="25" t="n">
        <f aca="false">AVERAGE(C4:C23)</f>
        <v>-1.71526315789474</v>
      </c>
      <c r="D24" s="25" t="n">
        <f aca="false">AVERAGE(D4:D23)</f>
        <v>-0.256842105263158</v>
      </c>
      <c r="E24" s="25" t="n">
        <f aca="false">AVERAGE(E4:E23)</f>
        <v>5.10526315789474</v>
      </c>
      <c r="F24" s="25" t="n">
        <f aca="false">AVERAGE(F4:F23)</f>
        <v>2.59684210526316</v>
      </c>
      <c r="G24" s="25" t="n">
        <f aca="false">AVERAGE(G4:G23)</f>
        <v>-0.415789473684211</v>
      </c>
      <c r="H24" s="25" t="n">
        <f aca="false">AVERAGE(H4:H23)</f>
        <v>1.72888888888889</v>
      </c>
      <c r="I24" s="25" t="n">
        <f aca="false">AVERAGE(I4:I23)</f>
        <v>-0.62</v>
      </c>
      <c r="J24" s="25" t="n">
        <f aca="false">AVERAGE(J4:J23)</f>
        <v>2.67210526315789</v>
      </c>
      <c r="K24" s="25" t="n">
        <f aca="false">AVERAGE(K4:K23)</f>
        <v>2.59736842105263</v>
      </c>
      <c r="L24" s="25" t="n">
        <f aca="false">AVERAGE(L4:L23)</f>
        <v>1.47210526315789</v>
      </c>
      <c r="M24" s="25" t="n">
        <f aca="false">AVERAGE(M4:M23)</f>
        <v>0.919473684210526</v>
      </c>
      <c r="N24" s="26" t="n">
        <f aca="false">AVERAGE(N4:N23)</f>
        <v>15.0995</v>
      </c>
    </row>
    <row r="25" customFormat="false" ht="15" hidden="false" customHeight="false" outlineLevel="0" collapsed="false">
      <c r="A25" s="24" t="s">
        <v>286</v>
      </c>
      <c r="B25" s="25" t="n">
        <f aca="false">MEDIAN(B4:B23)</f>
        <v>-2.47</v>
      </c>
      <c r="C25" s="25" t="n">
        <f aca="false">MEDIAN(C4:C23)</f>
        <v>-2.06</v>
      </c>
      <c r="D25" s="25" t="n">
        <f aca="false">MEDIAN(D4:D23)</f>
        <v>1.96</v>
      </c>
      <c r="E25" s="25" t="n">
        <f aca="false">MEDIAN(E4:E23)</f>
        <v>4.29</v>
      </c>
      <c r="F25" s="25" t="n">
        <f aca="false">MEDIAN(F4:F23)</f>
        <v>1.18</v>
      </c>
      <c r="G25" s="25" t="n">
        <f aca="false">MEDIAN(G4:G23)</f>
        <v>1.3</v>
      </c>
      <c r="H25" s="25" t="n">
        <f aca="false">MEDIAN(H4:H23)</f>
        <v>1.44</v>
      </c>
      <c r="I25" s="25" t="n">
        <f aca="false">MEDIAN(I4:I23)</f>
        <v>-1.185</v>
      </c>
      <c r="J25" s="25" t="n">
        <f aca="false">MEDIAN(J4:J23)</f>
        <v>1.37</v>
      </c>
      <c r="K25" s="25" t="n">
        <f aca="false">MEDIAN(K4:K23)</f>
        <v>2.87</v>
      </c>
      <c r="L25" s="25" t="n">
        <f aca="false">MEDIAN(L4:L23)</f>
        <v>1.68</v>
      </c>
      <c r="M25" s="25" t="n">
        <f aca="false">MEDIAN(M4:M23)</f>
        <v>0.47</v>
      </c>
      <c r="N25" s="26" t="n">
        <f aca="false">MEDIAN(N4:N23)</f>
        <v>12.79</v>
      </c>
    </row>
    <row r="26" customFormat="false" ht="15" hidden="false" customHeight="false" outlineLevel="0" collapsed="false">
      <c r="A26" s="24" t="s">
        <v>287</v>
      </c>
      <c r="B26" s="27" t="n">
        <f aca="false">COUNTIF(B4:B23,"&gt;0")/COUNT(B4:B23)</f>
        <v>0.368421052631579</v>
      </c>
      <c r="C26" s="27" t="n">
        <f aca="false">COUNTIF(C4:C23,"&gt;0")/COUNT(C4:C23)</f>
        <v>0.315789473684211</v>
      </c>
      <c r="D26" s="27" t="n">
        <f aca="false">COUNTIF(D4:D23,"&gt;0")/COUNT(D4:D23)</f>
        <v>0.578947368421053</v>
      </c>
      <c r="E26" s="27" t="n">
        <f aca="false">COUNTIF(E4:E23,"&gt;0")/COUNT(E4:E23)</f>
        <v>0.789473684210526</v>
      </c>
      <c r="F26" s="27" t="n">
        <f aca="false">COUNTIF(F4:F23,"&gt;0")/COUNT(F4:F23)</f>
        <v>0.526315789473684</v>
      </c>
      <c r="G26" s="27" t="n">
        <f aca="false">COUNTIF(G4:G23,"&gt;0")/COUNT(G4:G23)</f>
        <v>0.526315789473684</v>
      </c>
      <c r="H26" s="27" t="n">
        <f aca="false">COUNTIF(H4:H23,"&gt;0")/COUNT(H4:H23)</f>
        <v>0.611111111111111</v>
      </c>
      <c r="I26" s="27" t="n">
        <f aca="false">COUNTIF(I4:I23,"&gt;0")/COUNT(I4:I23)</f>
        <v>0.444444444444444</v>
      </c>
      <c r="J26" s="27" t="n">
        <f aca="false">COUNTIF(J4:J23,"&gt;0")/COUNT(J4:J23)</f>
        <v>0.578947368421053</v>
      </c>
      <c r="K26" s="27" t="n">
        <f aca="false">COUNTIF(K4:K23,"&gt;0")/COUNT(K4:K23)</f>
        <v>0.631578947368421</v>
      </c>
      <c r="L26" s="27" t="n">
        <f aca="false">COUNTIF(L4:L23,"&gt;0")/COUNT(L4:L23)</f>
        <v>0.68421052631579</v>
      </c>
      <c r="M26" s="27" t="n">
        <f aca="false">COUNTIF(M4:M23,"&gt;0")/COUNT(M4:M23)</f>
        <v>0.526315789473684</v>
      </c>
      <c r="N26" s="28" t="n">
        <f aca="false">COUNTIF(N4:N23,"&gt;0")/COUNT(N4:N23)</f>
        <v>0.7</v>
      </c>
    </row>
    <row r="27" customFormat="false" ht="15" hidden="false" customHeight="false" outlineLevel="0" collapsed="false">
      <c r="A27" s="24" t="s">
        <v>288</v>
      </c>
      <c r="B27" s="29" t="n">
        <f aca="false">STDEV(B4:B23)</f>
        <v>8.60640537334214</v>
      </c>
      <c r="C27" s="29" t="n">
        <f aca="false">STDEV(C4:C23)</f>
        <v>6.2925435313208</v>
      </c>
      <c r="D27" s="29" t="n">
        <f aca="false">STDEV(D4:D23)</f>
        <v>13.1598699979359</v>
      </c>
      <c r="E27" s="29" t="n">
        <f aca="false">STDEV(E4:E23)</f>
        <v>6.5189589901908</v>
      </c>
      <c r="F27" s="29" t="n">
        <f aca="false">STDEV(F4:F23)</f>
        <v>11.2745953623532</v>
      </c>
      <c r="G27" s="29" t="n">
        <f aca="false">STDEV(G4:G23)</f>
        <v>7.02077260372506</v>
      </c>
      <c r="H27" s="29" t="n">
        <f aca="false">STDEV(H4:H23)</f>
        <v>6.72095571713086</v>
      </c>
      <c r="I27" s="29" t="n">
        <f aca="false">STDEV(I4:I23)</f>
        <v>6.50345971274476</v>
      </c>
      <c r="J27" s="29" t="n">
        <f aca="false">STDEV(J4:J23)</f>
        <v>8.34753428594161</v>
      </c>
      <c r="K27" s="29" t="n">
        <f aca="false">STDEV(K4:K23)</f>
        <v>8.6780085030465</v>
      </c>
      <c r="L27" s="29" t="n">
        <f aca="false">STDEV(L4:L23)</f>
        <v>8.07013670471254</v>
      </c>
      <c r="M27" s="29" t="n">
        <f aca="false">STDEV(M4:M23)</f>
        <v>5.25676756792212</v>
      </c>
    </row>
    <row r="28" customFormat="false" ht="15" hidden="false" customHeight="false" outlineLevel="0" collapsed="false">
      <c r="A28" s="24" t="s">
        <v>289</v>
      </c>
      <c r="B28" s="25" t="n">
        <f aca="false">MAX(B4:B23)</f>
        <v>23.84</v>
      </c>
      <c r="C28" s="25" t="n">
        <f aca="false">MAX(C4:C23)</f>
        <v>12.36</v>
      </c>
      <c r="D28" s="25" t="n">
        <f aca="false">MAX(D4:D23)</f>
        <v>19.02</v>
      </c>
      <c r="E28" s="25" t="n">
        <f aca="false">MAX(E4:E23)</f>
        <v>23.53</v>
      </c>
      <c r="F28" s="25" t="n">
        <f aca="false">MAX(F4:F23)</f>
        <v>40.12</v>
      </c>
      <c r="G28" s="25" t="n">
        <f aca="false">MAX(G4:G23)</f>
        <v>9.61</v>
      </c>
      <c r="H28" s="25" t="n">
        <f aca="false">MAX(H4:H23)</f>
        <v>13.64</v>
      </c>
      <c r="I28" s="25" t="n">
        <f aca="false">MAX(I4:I23)</f>
        <v>10.26</v>
      </c>
      <c r="J28" s="25" t="n">
        <f aca="false">MAX(J4:J23)</f>
        <v>18.13</v>
      </c>
      <c r="K28" s="25" t="n">
        <f aca="false">MAX(K4:K23)</f>
        <v>18.46</v>
      </c>
      <c r="L28" s="25" t="n">
        <f aca="false">MAX(L4:L23)</f>
        <v>21.51</v>
      </c>
      <c r="M28" s="25" t="n">
        <f aca="false">MAX(M4:M23)</f>
        <v>15.84</v>
      </c>
    </row>
    <row r="29" customFormat="false" ht="15" hidden="false" customHeight="false" outlineLevel="0" collapsed="false">
      <c r="A29" s="24" t="s">
        <v>290</v>
      </c>
      <c r="B29" s="25" t="n">
        <f aca="false">MIN(B4:B23)</f>
        <v>-13.54</v>
      </c>
      <c r="C29" s="25" t="n">
        <f aca="false">MIN(C4:C23)</f>
        <v>-11.61</v>
      </c>
      <c r="D29" s="25" t="n">
        <f aca="false">MIN(D4:D23)</f>
        <v>-35.54</v>
      </c>
      <c r="E29" s="25" t="n">
        <f aca="false">MIN(E4:E23)</f>
        <v>-2.53</v>
      </c>
      <c r="F29" s="25" t="n">
        <f aca="false">MIN(F4:F23)</f>
        <v>-15.3</v>
      </c>
      <c r="G29" s="25" t="n">
        <f aca="false">MIN(G4:G23)</f>
        <v>-23.57</v>
      </c>
      <c r="H29" s="25" t="n">
        <f aca="false">MIN(H4:H23)</f>
        <v>-13.64</v>
      </c>
      <c r="I29" s="25" t="n">
        <f aca="false">MIN(I4:I23)</f>
        <v>-13.44</v>
      </c>
      <c r="J29" s="25" t="n">
        <f aca="false">MIN(J4:J23)</f>
        <v>-10.92</v>
      </c>
      <c r="K29" s="25" t="n">
        <f aca="false">MIN(K4:K23)</f>
        <v>-23.04</v>
      </c>
      <c r="L29" s="25" t="n">
        <f aca="false">MIN(L4:L23)</f>
        <v>-13.48</v>
      </c>
      <c r="M29" s="25" t="n">
        <f aca="false">MIN(M4:M23)</f>
        <v>-10.19</v>
      </c>
    </row>
    <row r="31" customFormat="false" ht="15" hidden="false" customHeight="false" outlineLevel="0" collapsed="false">
      <c r="A31" s="30" t="s">
        <v>291</v>
      </c>
      <c r="B31" s="30"/>
      <c r="C31" s="30"/>
      <c r="D31" s="30"/>
      <c r="E31" s="30"/>
      <c r="F31" s="30"/>
      <c r="G31" s="30"/>
      <c r="H31" s="30"/>
      <c r="I31" s="30"/>
      <c r="J31" s="30"/>
      <c r="K31" s="30"/>
      <c r="L31" s="30"/>
      <c r="M31" s="30"/>
      <c r="N31" s="30"/>
    </row>
    <row r="32" customFormat="false" ht="19.5" hidden="false" customHeight="true" outlineLevel="0" collapsed="false">
      <c r="A32" s="31" t="s">
        <v>292</v>
      </c>
      <c r="B32" s="31"/>
      <c r="C32" s="31"/>
      <c r="D32" s="31"/>
      <c r="E32" s="31"/>
      <c r="F32" s="31"/>
      <c r="G32" s="31"/>
      <c r="H32" s="31"/>
      <c r="I32" s="31"/>
      <c r="J32" s="31"/>
      <c r="K32" s="31"/>
      <c r="L32" s="31"/>
      <c r="M32" s="31"/>
      <c r="N32" s="31"/>
    </row>
    <row r="33" customFormat="false" ht="15" hidden="false" customHeight="false" outlineLevel="0" collapsed="false">
      <c r="A33" s="32" t="s">
        <v>251</v>
      </c>
      <c r="B33" s="32" t="s">
        <v>252</v>
      </c>
      <c r="C33" s="32" t="s">
        <v>253</v>
      </c>
      <c r="D33" s="32" t="s">
        <v>254</v>
      </c>
      <c r="E33" s="32" t="s">
        <v>255</v>
      </c>
      <c r="F33" s="32" t="s">
        <v>256</v>
      </c>
      <c r="G33" s="32" t="s">
        <v>257</v>
      </c>
      <c r="H33" s="32" t="s">
        <v>258</v>
      </c>
      <c r="I33" s="32" t="s">
        <v>259</v>
      </c>
      <c r="J33" s="32" t="s">
        <v>260</v>
      </c>
      <c r="K33" s="32" t="s">
        <v>261</v>
      </c>
      <c r="L33" s="32" t="s">
        <v>262</v>
      </c>
      <c r="M33" s="32" t="s">
        <v>263</v>
      </c>
      <c r="N33" s="32" t="s">
        <v>293</v>
      </c>
    </row>
    <row r="34" customFormat="false" ht="15" hidden="false" customHeight="false" outlineLevel="0" collapsed="false">
      <c r="A34" s="21" t="s">
        <v>265</v>
      </c>
      <c r="B34" s="22"/>
      <c r="C34" s="22"/>
      <c r="D34" s="22"/>
      <c r="E34" s="22"/>
      <c r="F34" s="22"/>
      <c r="G34" s="22"/>
      <c r="H34" s="22"/>
      <c r="I34" s="22"/>
      <c r="J34" s="22" t="n">
        <v>13.56</v>
      </c>
      <c r="K34" s="22" t="n">
        <v>7.53</v>
      </c>
      <c r="L34" s="22" t="n">
        <v>8.28</v>
      </c>
      <c r="M34" s="22" t="n">
        <v>6</v>
      </c>
      <c r="N34" s="23" t="n">
        <v>40.16</v>
      </c>
    </row>
    <row r="35" customFormat="false" ht="15" hidden="false" customHeight="false" outlineLevel="0" collapsed="false">
      <c r="A35" s="21" t="s">
        <v>266</v>
      </c>
      <c r="B35" s="22" t="n">
        <v>-5.29</v>
      </c>
      <c r="C35" s="22" t="n">
        <v>-7.64</v>
      </c>
      <c r="D35" s="22" t="n">
        <v>-18.35</v>
      </c>
      <c r="E35" s="22" t="n">
        <v>5.27</v>
      </c>
      <c r="F35" s="22" t="n">
        <v>-11.24</v>
      </c>
      <c r="G35" s="22" t="n">
        <v>-16.59</v>
      </c>
      <c r="H35" s="22" t="n">
        <v>7.23</v>
      </c>
      <c r="I35" s="22" t="n">
        <v>1.16</v>
      </c>
      <c r="J35" s="22" t="n">
        <v>4.33</v>
      </c>
      <c r="K35" s="22" t="n">
        <v>-29.49</v>
      </c>
      <c r="L35" s="22" t="n">
        <v>-2.21</v>
      </c>
      <c r="M35" s="22" t="n">
        <v>18.84</v>
      </c>
      <c r="N35" s="23" t="n">
        <v>-48.38</v>
      </c>
    </row>
    <row r="36" customFormat="false" ht="15" hidden="false" customHeight="false" outlineLevel="0" collapsed="false">
      <c r="A36" s="21" t="s">
        <v>267</v>
      </c>
      <c r="B36" s="22" t="n">
        <v>-12.13</v>
      </c>
      <c r="C36" s="22" t="n">
        <v>-10.6</v>
      </c>
      <c r="D36" s="22" t="n">
        <v>12.08</v>
      </c>
      <c r="E36" s="22" t="n">
        <v>19.82</v>
      </c>
      <c r="F36" s="22" t="n">
        <v>38.69</v>
      </c>
      <c r="G36" s="22" t="n">
        <v>-3.4</v>
      </c>
      <c r="H36" s="22" t="n">
        <v>2.89</v>
      </c>
      <c r="I36" s="22" t="n">
        <v>-1.16</v>
      </c>
      <c r="J36" s="22" t="n">
        <v>15.36</v>
      </c>
      <c r="K36" s="22" t="n">
        <v>-0.79</v>
      </c>
      <c r="L36" s="22" t="n">
        <v>6.97</v>
      </c>
      <c r="M36" s="22" t="n">
        <v>0.39</v>
      </c>
      <c r="N36" s="23" t="n">
        <v>76.66</v>
      </c>
    </row>
    <row r="37" customFormat="false" ht="15" hidden="false" customHeight="false" outlineLevel="0" collapsed="false">
      <c r="A37" s="21" t="s">
        <v>268</v>
      </c>
      <c r="B37" s="22" t="n">
        <v>-6.73</v>
      </c>
      <c r="C37" s="22" t="n">
        <v>2.29</v>
      </c>
      <c r="D37" s="22" t="n">
        <v>9.17</v>
      </c>
      <c r="E37" s="22" t="n">
        <v>5.06</v>
      </c>
      <c r="F37" s="22" t="n">
        <v>-5.62</v>
      </c>
      <c r="G37" s="22" t="n">
        <v>4.17</v>
      </c>
      <c r="H37" s="22" t="n">
        <v>5.73</v>
      </c>
      <c r="I37" s="22" t="n">
        <v>8.17</v>
      </c>
      <c r="J37" s="22" t="n">
        <v>12.39</v>
      </c>
      <c r="K37" s="22" t="n">
        <v>-2.3</v>
      </c>
      <c r="L37" s="22" t="n">
        <v>-4.06</v>
      </c>
      <c r="M37" s="22" t="n">
        <v>-0.63</v>
      </c>
      <c r="N37" s="23" t="n">
        <v>28.8</v>
      </c>
    </row>
    <row r="38" customFormat="false" ht="15" hidden="false" customHeight="false" outlineLevel="0" collapsed="false">
      <c r="A38" s="21" t="s">
        <v>269</v>
      </c>
      <c r="B38" s="22" t="n">
        <v>-8.23</v>
      </c>
      <c r="C38" s="22" t="n">
        <v>-4.48</v>
      </c>
      <c r="D38" s="22" t="n">
        <v>13.32</v>
      </c>
      <c r="E38" s="22" t="n">
        <v>-0.24</v>
      </c>
      <c r="F38" s="22" t="n">
        <v>-10.31</v>
      </c>
      <c r="G38" s="22" t="n">
        <v>7.18</v>
      </c>
      <c r="H38" s="22" t="n">
        <v>-4.68</v>
      </c>
      <c r="I38" s="22" t="n">
        <v>-15.19</v>
      </c>
      <c r="J38" s="22" t="n">
        <v>5.08</v>
      </c>
      <c r="K38" s="22" t="n">
        <v>-0.92</v>
      </c>
      <c r="L38" s="22" t="n">
        <v>-13.88</v>
      </c>
      <c r="M38" s="22" t="n">
        <v>-4.87</v>
      </c>
      <c r="N38" s="23" t="n">
        <v>-34.31</v>
      </c>
    </row>
    <row r="39" customFormat="false" ht="15" hidden="false" customHeight="false" outlineLevel="0" collapsed="false">
      <c r="A39" s="21" t="s">
        <v>270</v>
      </c>
      <c r="B39" s="22" t="n">
        <v>22.09</v>
      </c>
      <c r="C39" s="22" t="n">
        <v>7.46</v>
      </c>
      <c r="D39" s="22" t="n">
        <v>-7.15</v>
      </c>
      <c r="E39" s="22" t="n">
        <v>1.43</v>
      </c>
      <c r="F39" s="22" t="n">
        <v>-6.95</v>
      </c>
      <c r="G39" s="22" t="n">
        <v>6.04</v>
      </c>
      <c r="H39" s="22" t="n">
        <v>-0.21</v>
      </c>
      <c r="I39" s="22" t="n">
        <v>-1.67</v>
      </c>
      <c r="J39" s="22" t="n">
        <v>13.77</v>
      </c>
      <c r="K39" s="22" t="n">
        <v>1.11</v>
      </c>
      <c r="L39" s="22" t="n">
        <v>4.23</v>
      </c>
      <c r="M39" s="22" t="n">
        <v>3.12</v>
      </c>
      <c r="N39" s="23" t="n">
        <v>47.91</v>
      </c>
    </row>
    <row r="40" customFormat="false" ht="15" hidden="false" customHeight="false" outlineLevel="0" collapsed="false">
      <c r="A40" s="21" t="s">
        <v>271</v>
      </c>
      <c r="B40" s="22" t="n">
        <v>1.72</v>
      </c>
      <c r="C40" s="22" t="n">
        <v>-9.68</v>
      </c>
      <c r="D40" s="22" t="n">
        <v>-1.48</v>
      </c>
      <c r="E40" s="22" t="n">
        <v>11.49</v>
      </c>
      <c r="F40" s="22" t="n">
        <v>1</v>
      </c>
      <c r="G40" s="22" t="n">
        <v>-11.77</v>
      </c>
      <c r="H40" s="22" t="n">
        <v>-6.63</v>
      </c>
      <c r="I40" s="22" t="n">
        <v>-16.79</v>
      </c>
      <c r="J40" s="22" t="n">
        <v>13.57</v>
      </c>
      <c r="K40" s="22" t="n">
        <v>13.24</v>
      </c>
      <c r="L40" s="22" t="n">
        <v>-4.93</v>
      </c>
      <c r="M40" s="22" t="n">
        <v>4.06</v>
      </c>
      <c r="N40" s="23" t="n">
        <v>-11.11</v>
      </c>
    </row>
    <row r="41" customFormat="false" ht="15" hidden="false" customHeight="false" outlineLevel="0" collapsed="false">
      <c r="A41" s="21" t="s">
        <v>272</v>
      </c>
      <c r="B41" s="22" t="n">
        <v>-11.01</v>
      </c>
      <c r="C41" s="22" t="n">
        <v>5.27</v>
      </c>
      <c r="D41" s="22" t="n">
        <v>16.78</v>
      </c>
      <c r="E41" s="22" t="n">
        <v>3.38</v>
      </c>
      <c r="F41" s="22" t="n">
        <v>14.43</v>
      </c>
      <c r="G41" s="22" t="n">
        <v>-0.29</v>
      </c>
      <c r="H41" s="22" t="n">
        <v>1.16</v>
      </c>
      <c r="I41" s="22" t="n">
        <v>3.98</v>
      </c>
      <c r="J41" s="22" t="n">
        <v>-3.11</v>
      </c>
      <c r="K41" s="22" t="n">
        <v>9.81</v>
      </c>
      <c r="L41" s="22" t="n">
        <v>7.2</v>
      </c>
      <c r="M41" s="22" t="n">
        <v>2.5</v>
      </c>
      <c r="N41" s="23" t="n">
        <v>58.68</v>
      </c>
    </row>
    <row r="42" customFormat="false" ht="15" hidden="false" customHeight="false" outlineLevel="0" collapsed="false">
      <c r="A42" s="21" t="s">
        <v>273</v>
      </c>
      <c r="B42" s="22" t="n">
        <v>10.35</v>
      </c>
      <c r="C42" s="22" t="n">
        <v>-10.01</v>
      </c>
      <c r="D42" s="22" t="n">
        <v>-4.44</v>
      </c>
      <c r="E42" s="22" t="n">
        <v>1.8</v>
      </c>
      <c r="F42" s="22" t="n">
        <v>0.17</v>
      </c>
      <c r="G42" s="22" t="n">
        <v>0.04</v>
      </c>
      <c r="H42" s="22" t="n">
        <v>-0.11</v>
      </c>
      <c r="I42" s="22" t="n">
        <v>-6.9</v>
      </c>
      <c r="J42" s="22" t="n">
        <v>-1.31</v>
      </c>
      <c r="K42" s="22" t="n">
        <v>-0.43</v>
      </c>
      <c r="L42" s="22" t="n">
        <v>-1.24</v>
      </c>
      <c r="M42" s="22" t="n">
        <v>-1.01</v>
      </c>
      <c r="N42" s="23" t="n">
        <v>-13.51</v>
      </c>
    </row>
    <row r="43" customFormat="false" ht="15" hidden="false" customHeight="false" outlineLevel="0" collapsed="false">
      <c r="A43" s="21" t="s">
        <v>274</v>
      </c>
      <c r="B43" s="22" t="n">
        <v>-9.16</v>
      </c>
      <c r="C43" s="22" t="n">
        <v>-10.47</v>
      </c>
      <c r="D43" s="22" t="n">
        <v>17.69</v>
      </c>
      <c r="E43" s="22" t="n">
        <v>3.83</v>
      </c>
      <c r="F43" s="22" t="n">
        <v>3.87</v>
      </c>
      <c r="G43" s="22" t="n">
        <v>3.38</v>
      </c>
      <c r="H43" s="22" t="n">
        <v>5.86</v>
      </c>
      <c r="I43" s="22" t="n">
        <v>1.35</v>
      </c>
      <c r="J43" s="22" t="n">
        <v>-0.79</v>
      </c>
      <c r="K43" s="22" t="n">
        <v>2.09</v>
      </c>
      <c r="L43" s="22" t="n">
        <v>-6.42</v>
      </c>
      <c r="M43" s="22" t="n">
        <v>-1.87</v>
      </c>
      <c r="N43" s="23" t="n">
        <v>6.49</v>
      </c>
    </row>
    <row r="44" customFormat="false" ht="15" hidden="false" customHeight="false" outlineLevel="0" collapsed="false">
      <c r="A44" s="21" t="s">
        <v>275</v>
      </c>
      <c r="B44" s="22" t="n">
        <v>8.03</v>
      </c>
      <c r="C44" s="22" t="n">
        <v>6.58</v>
      </c>
      <c r="D44" s="22" t="n">
        <v>3.68</v>
      </c>
      <c r="E44" s="22" t="n">
        <v>3.59</v>
      </c>
      <c r="F44" s="22" t="n">
        <v>4.01</v>
      </c>
      <c r="G44" s="22" t="n">
        <v>0.33</v>
      </c>
      <c r="H44" s="22" t="n">
        <v>7.72</v>
      </c>
      <c r="I44" s="22" t="n">
        <v>-1.72</v>
      </c>
      <c r="J44" s="22" t="n">
        <v>-1.56</v>
      </c>
      <c r="K44" s="22" t="n">
        <v>3.77</v>
      </c>
      <c r="L44" s="22" t="n">
        <v>1.79</v>
      </c>
      <c r="M44" s="22" t="n">
        <v>0.32</v>
      </c>
      <c r="N44" s="23" t="n">
        <v>42.51</v>
      </c>
    </row>
    <row r="45" customFormat="false" ht="15" hidden="false" customHeight="false" outlineLevel="0" collapsed="false">
      <c r="A45" s="21" t="s">
        <v>276</v>
      </c>
      <c r="B45" s="22" t="n">
        <v>7.69</v>
      </c>
      <c r="C45" s="22" t="n">
        <v>-9.08</v>
      </c>
      <c r="D45" s="22" t="n">
        <v>-2.96</v>
      </c>
      <c r="E45" s="22" t="n">
        <v>3.2</v>
      </c>
      <c r="F45" s="22" t="n">
        <v>7.69</v>
      </c>
      <c r="G45" s="22" t="n">
        <v>-2.19</v>
      </c>
      <c r="H45" s="22" t="n">
        <v>4.16</v>
      </c>
      <c r="I45" s="22" t="n">
        <v>2.2</v>
      </c>
      <c r="J45" s="22" t="n">
        <v>-10.56</v>
      </c>
      <c r="K45" s="22" t="n">
        <v>-1.27</v>
      </c>
      <c r="L45" s="22" t="n">
        <v>8.75</v>
      </c>
      <c r="M45" s="22" t="n">
        <v>-0.48</v>
      </c>
      <c r="N45" s="23" t="n">
        <v>5.07</v>
      </c>
    </row>
    <row r="46" customFormat="false" ht="15" hidden="false" customHeight="false" outlineLevel="0" collapsed="false">
      <c r="A46" s="21" t="s">
        <v>277</v>
      </c>
      <c r="B46" s="22" t="n">
        <v>0.91</v>
      </c>
      <c r="C46" s="22" t="n">
        <v>-1.99</v>
      </c>
      <c r="D46" s="22" t="n">
        <v>12.92</v>
      </c>
      <c r="E46" s="22" t="n">
        <v>-3.2</v>
      </c>
      <c r="F46" s="22" t="n">
        <v>5.95</v>
      </c>
      <c r="G46" s="22" t="n">
        <v>-1.29</v>
      </c>
      <c r="H46" s="22" t="n">
        <v>-7.15</v>
      </c>
      <c r="I46" s="22" t="n">
        <v>-6.05</v>
      </c>
      <c r="J46" s="22" t="n">
        <v>9.47</v>
      </c>
      <c r="K46" s="22" t="n">
        <v>0.3</v>
      </c>
      <c r="L46" s="22" t="n">
        <v>6.38</v>
      </c>
      <c r="M46" s="22" t="n">
        <v>-0.24</v>
      </c>
      <c r="N46" s="23" t="n">
        <v>14.92</v>
      </c>
    </row>
    <row r="47" customFormat="false" ht="15" hidden="false" customHeight="false" outlineLevel="0" collapsed="false">
      <c r="A47" s="21" t="s">
        <v>278</v>
      </c>
      <c r="B47" s="22" t="n">
        <v>-4.65</v>
      </c>
      <c r="C47" s="22" t="n">
        <v>-2.47</v>
      </c>
      <c r="D47" s="22" t="n">
        <v>-33.52</v>
      </c>
      <c r="E47" s="22" t="n">
        <v>3.52</v>
      </c>
      <c r="F47" s="22" t="n">
        <v>-6.56</v>
      </c>
      <c r="G47" s="22" t="n">
        <v>13.42</v>
      </c>
      <c r="H47" s="22" t="n">
        <v>-0.41</v>
      </c>
      <c r="I47" s="22" t="n">
        <v>8.6</v>
      </c>
      <c r="J47" s="22" t="n">
        <v>-13.45</v>
      </c>
      <c r="K47" s="22" t="n">
        <v>16.16</v>
      </c>
      <c r="L47" s="22" t="n">
        <v>22.66</v>
      </c>
      <c r="M47" s="22" t="n">
        <v>5.54</v>
      </c>
      <c r="N47" s="23" t="n">
        <v>-4.53</v>
      </c>
    </row>
    <row r="48" customFormat="false" ht="15" hidden="false" customHeight="false" outlineLevel="0" collapsed="false">
      <c r="A48" s="21" t="s">
        <v>279</v>
      </c>
      <c r="B48" s="22" t="n">
        <v>-3</v>
      </c>
      <c r="C48" s="22" t="n">
        <v>19.05</v>
      </c>
      <c r="D48" s="22" t="n">
        <v>-7.82</v>
      </c>
      <c r="E48" s="22" t="n">
        <v>0.33</v>
      </c>
      <c r="F48" s="22" t="n">
        <v>5.99</v>
      </c>
      <c r="G48" s="22" t="n">
        <v>-1.47</v>
      </c>
      <c r="H48" s="22" t="n">
        <v>-0.64</v>
      </c>
      <c r="I48" s="22" t="n">
        <v>2.65</v>
      </c>
      <c r="J48" s="22" t="n">
        <v>5.25</v>
      </c>
      <c r="K48" s="22" t="n">
        <v>6.38</v>
      </c>
      <c r="L48" s="22" t="n">
        <v>-5.22</v>
      </c>
      <c r="M48" s="22" t="n">
        <v>-4.8</v>
      </c>
      <c r="N48" s="23" t="n">
        <v>14.92</v>
      </c>
    </row>
    <row r="49" customFormat="false" ht="15" hidden="false" customHeight="false" outlineLevel="0" collapsed="false">
      <c r="A49" s="21" t="s">
        <v>280</v>
      </c>
      <c r="B49" s="22" t="n">
        <v>8.17</v>
      </c>
      <c r="C49" s="22" t="n">
        <v>-7.89</v>
      </c>
      <c r="D49" s="22" t="n">
        <v>1.31</v>
      </c>
      <c r="E49" s="22" t="n">
        <v>0.34</v>
      </c>
      <c r="F49" s="22" t="n">
        <v>-3.78</v>
      </c>
      <c r="G49" s="22" t="n">
        <v>-5.38</v>
      </c>
      <c r="H49" s="22" t="n">
        <v>12.37</v>
      </c>
      <c r="I49" s="22" t="n">
        <v>3.27</v>
      </c>
      <c r="J49" s="22" t="n">
        <v>-3.79</v>
      </c>
      <c r="K49" s="22" t="n">
        <v>9.66</v>
      </c>
      <c r="L49" s="22" t="n">
        <v>4.46</v>
      </c>
      <c r="M49" s="22" t="n">
        <v>0.14</v>
      </c>
      <c r="N49" s="23" t="n">
        <v>18.1</v>
      </c>
    </row>
    <row r="50" customFormat="false" ht="15" hidden="false" customHeight="false" outlineLevel="0" collapsed="false">
      <c r="A50" s="21" t="s">
        <v>281</v>
      </c>
      <c r="B50" s="22" t="n">
        <v>-4.04</v>
      </c>
      <c r="C50" s="22" t="n">
        <v>-3.34</v>
      </c>
      <c r="D50" s="22" t="n">
        <v>-0.87</v>
      </c>
      <c r="E50" s="22" t="n">
        <v>6.88</v>
      </c>
      <c r="F50" s="22" t="n">
        <v>1.48</v>
      </c>
      <c r="G50" s="22" t="n">
        <v>1.29</v>
      </c>
      <c r="H50" s="22" t="n">
        <v>2.27</v>
      </c>
      <c r="I50" s="22" t="n">
        <v>-3.45</v>
      </c>
      <c r="J50" s="22" t="n">
        <v>0.69</v>
      </c>
      <c r="K50" s="22" t="n">
        <v>-4.87</v>
      </c>
      <c r="L50" s="22" t="n">
        <v>4.53</v>
      </c>
      <c r="M50" s="22" t="n">
        <v>8.81</v>
      </c>
      <c r="N50" s="23" t="n">
        <v>8.67</v>
      </c>
    </row>
    <row r="51" customFormat="false" ht="15" hidden="false" customHeight="false" outlineLevel="0" collapsed="false">
      <c r="A51" s="21" t="s">
        <v>282</v>
      </c>
      <c r="B51" s="22" t="n">
        <v>-7.25</v>
      </c>
      <c r="C51" s="22" t="n">
        <v>2.1</v>
      </c>
      <c r="D51" s="22" t="n">
        <v>1.96</v>
      </c>
      <c r="E51" s="22" t="n">
        <v>2.33</v>
      </c>
      <c r="F51" s="22" t="n">
        <v>0.05</v>
      </c>
      <c r="G51" s="22" t="n">
        <v>8.01</v>
      </c>
      <c r="H51" s="22" t="n">
        <v>-3.76</v>
      </c>
      <c r="I51" s="22" t="n">
        <v>1.38</v>
      </c>
      <c r="J51" s="22" t="n">
        <v>5.71</v>
      </c>
      <c r="K51" s="22" t="n">
        <v>-5.27</v>
      </c>
      <c r="L51" s="22" t="n">
        <v>0.69</v>
      </c>
      <c r="M51" s="22" t="n">
        <v>-1.56</v>
      </c>
      <c r="N51" s="23" t="n">
        <v>3.4</v>
      </c>
    </row>
    <row r="52" customFormat="false" ht="15" hidden="false" customHeight="false" outlineLevel="0" collapsed="false">
      <c r="A52" s="21" t="s">
        <v>283</v>
      </c>
      <c r="B52" s="22" t="n">
        <v>-3.82</v>
      </c>
      <c r="C52" s="22" t="n">
        <v>-1.05</v>
      </c>
      <c r="D52" s="22" t="n">
        <v>6.48</v>
      </c>
      <c r="E52" s="22" t="n">
        <v>6.96</v>
      </c>
      <c r="F52" s="22" t="n">
        <v>0.57</v>
      </c>
      <c r="G52" s="22" t="n">
        <v>2.86</v>
      </c>
      <c r="H52" s="22" t="n">
        <v>-2.22</v>
      </c>
      <c r="I52" s="22" t="n">
        <v>-3.72</v>
      </c>
      <c r="J52" s="22" t="n">
        <v>1.82</v>
      </c>
      <c r="K52" s="22" t="n">
        <v>6.51</v>
      </c>
      <c r="L52" s="22" t="n">
        <v>0.86</v>
      </c>
      <c r="M52" s="22" t="n">
        <v>0.66</v>
      </c>
      <c r="N52" s="23" t="n">
        <v>16.22</v>
      </c>
    </row>
    <row r="53" customFormat="false" ht="15" hidden="false" customHeight="false" outlineLevel="0" collapsed="false">
      <c r="A53" s="21" t="s">
        <v>284</v>
      </c>
      <c r="B53" s="22" t="n">
        <v>0.02</v>
      </c>
      <c r="C53" s="22" t="n">
        <v>2.47</v>
      </c>
      <c r="D53" s="22" t="n">
        <v>-17.82</v>
      </c>
      <c r="E53" s="22" t="n">
        <v>7.71</v>
      </c>
      <c r="F53" s="22" t="n">
        <v>-0.97</v>
      </c>
      <c r="G53" s="22"/>
      <c r="H53" s="22"/>
      <c r="I53" s="22"/>
      <c r="J53" s="22"/>
      <c r="K53" s="22"/>
      <c r="L53" s="22"/>
      <c r="M53" s="22"/>
      <c r="N53" s="23" t="n">
        <v>-10.16</v>
      </c>
    </row>
    <row r="54" customFormat="false" ht="15" hidden="false" customHeight="false" outlineLevel="0" collapsed="false">
      <c r="A54" s="24" t="s">
        <v>285</v>
      </c>
      <c r="B54" s="25" t="n">
        <f aca="false">AVERAGE(B34:B53)</f>
        <v>-0.859473684210526</v>
      </c>
      <c r="C54" s="25" t="n">
        <f aca="false">AVERAGE(C34:C53)</f>
        <v>-1.76210526315789</v>
      </c>
      <c r="D54" s="25" t="n">
        <f aca="false">AVERAGE(D34:D53)</f>
        <v>0.0515789473684209</v>
      </c>
      <c r="E54" s="25" t="n">
        <f aca="false">AVERAGE(E34:E53)</f>
        <v>4.39473684210526</v>
      </c>
      <c r="F54" s="25" t="n">
        <f aca="false">AVERAGE(F34:F53)</f>
        <v>2.02473684210526</v>
      </c>
      <c r="G54" s="25" t="n">
        <f aca="false">AVERAGE(G34:G53)</f>
        <v>0.241111111111111</v>
      </c>
      <c r="H54" s="25" t="n">
        <f aca="false">AVERAGE(H34:H53)</f>
        <v>1.31</v>
      </c>
      <c r="I54" s="25" t="n">
        <f aca="false">AVERAGE(I34:I53)</f>
        <v>-1.32722222222222</v>
      </c>
      <c r="J54" s="25" t="n">
        <f aca="false">AVERAGE(J34:J53)</f>
        <v>3.49631578947368</v>
      </c>
      <c r="K54" s="25" t="n">
        <f aca="false">AVERAGE(K34:K53)</f>
        <v>1.64315789473684</v>
      </c>
      <c r="L54" s="25" t="n">
        <f aca="false">AVERAGE(L34:L53)</f>
        <v>2.04421052631579</v>
      </c>
      <c r="M54" s="25" t="n">
        <f aca="false">AVERAGE(M34:M53)</f>
        <v>1.83789473684211</v>
      </c>
      <c r="N54" s="26" t="n">
        <f aca="false">AVERAGE(N34:N53)</f>
        <v>13.0255</v>
      </c>
    </row>
    <row r="55" customFormat="false" ht="15" hidden="false" customHeight="false" outlineLevel="0" collapsed="false">
      <c r="A55" s="24" t="s">
        <v>286</v>
      </c>
      <c r="B55" s="25" t="n">
        <f aca="false">MEDIAN(B34:B53)</f>
        <v>-3.82</v>
      </c>
      <c r="C55" s="25" t="n">
        <f aca="false">MEDIAN(C34:C53)</f>
        <v>-2.47</v>
      </c>
      <c r="D55" s="25" t="n">
        <f aca="false">MEDIAN(D34:D53)</f>
        <v>1.31</v>
      </c>
      <c r="E55" s="25" t="n">
        <f aca="false">MEDIAN(E34:E53)</f>
        <v>3.52</v>
      </c>
      <c r="F55" s="25" t="n">
        <f aca="false">MEDIAN(F34:F53)</f>
        <v>0.57</v>
      </c>
      <c r="G55" s="25" t="n">
        <f aca="false">MEDIAN(G34:G53)</f>
        <v>0.185</v>
      </c>
      <c r="H55" s="25" t="n">
        <f aca="false">MEDIAN(H34:H53)</f>
        <v>0.525</v>
      </c>
      <c r="I55" s="25" t="n">
        <f aca="false">MEDIAN(I34:I53)</f>
        <v>0</v>
      </c>
      <c r="J55" s="25" t="n">
        <f aca="false">MEDIAN(J34:J53)</f>
        <v>4.33</v>
      </c>
      <c r="K55" s="25" t="n">
        <f aca="false">MEDIAN(K34:K53)</f>
        <v>1.11</v>
      </c>
      <c r="L55" s="25" t="n">
        <f aca="false">MEDIAN(L34:L53)</f>
        <v>1.79</v>
      </c>
      <c r="M55" s="25" t="n">
        <f aca="false">MEDIAN(M34:M53)</f>
        <v>0.32</v>
      </c>
      <c r="N55" s="26" t="n">
        <f aca="false">MEDIAN(N34:N53)</f>
        <v>11.795</v>
      </c>
    </row>
    <row r="56" customFormat="false" ht="15" hidden="false" customHeight="false" outlineLevel="0" collapsed="false">
      <c r="A56" s="24" t="s">
        <v>287</v>
      </c>
      <c r="B56" s="27" t="n">
        <f aca="false">COUNTIF(B34:B53,"&gt;0")/COUNT(B34:B53)</f>
        <v>0.421052631578947</v>
      </c>
      <c r="C56" s="27" t="n">
        <f aca="false">COUNTIF(C34:C53,"&gt;0")/COUNT(C34:C53)</f>
        <v>0.368421052631579</v>
      </c>
      <c r="D56" s="27" t="n">
        <f aca="false">COUNTIF(D34:D53,"&gt;0")/COUNT(D34:D53)</f>
        <v>0.526315789473684</v>
      </c>
      <c r="E56" s="27" t="n">
        <f aca="false">COUNTIF(E34:E53,"&gt;0")/COUNT(E34:E53)</f>
        <v>0.894736842105263</v>
      </c>
      <c r="F56" s="27" t="n">
        <f aca="false">COUNTIF(F34:F53,"&gt;0")/COUNT(F34:F53)</f>
        <v>0.631578947368421</v>
      </c>
      <c r="G56" s="27" t="n">
        <f aca="false">COUNTIF(G34:G53,"&gt;0")/COUNT(G34:G53)</f>
        <v>0.555555555555556</v>
      </c>
      <c r="H56" s="27" t="n">
        <f aca="false">COUNTIF(H34:H53,"&gt;0")/COUNT(H34:H53)</f>
        <v>0.5</v>
      </c>
      <c r="I56" s="27" t="n">
        <f aca="false">COUNTIF(I34:I53,"&gt;0")/COUNT(I34:I53)</f>
        <v>0.5</v>
      </c>
      <c r="J56" s="27" t="n">
        <f aca="false">COUNTIF(J34:J53,"&gt;0")/COUNT(J34:J53)</f>
        <v>0.631578947368421</v>
      </c>
      <c r="K56" s="27" t="n">
        <f aca="false">COUNTIF(K34:K53,"&gt;0")/COUNT(K34:K53)</f>
        <v>0.578947368421053</v>
      </c>
      <c r="L56" s="27" t="n">
        <f aca="false">COUNTIF(L34:L53,"&gt;0")/COUNT(L34:L53)</f>
        <v>0.631578947368421</v>
      </c>
      <c r="M56" s="27" t="n">
        <f aca="false">COUNTIF(M34:M53,"&gt;0")/COUNT(M34:M53)</f>
        <v>0.578947368421053</v>
      </c>
      <c r="N56" s="28" t="n">
        <f aca="false">COUNTIF(N34:N53,"&gt;0")/COUNT(N34:N53)</f>
        <v>0.7</v>
      </c>
    </row>
    <row r="57" customFormat="false" ht="15" hidden="false" customHeight="false" outlineLevel="0" collapsed="false">
      <c r="A57" s="24" t="s">
        <v>288</v>
      </c>
      <c r="B57" s="29" t="n">
        <f aca="false">STDEV(B34:B53)</f>
        <v>8.76413047831533</v>
      </c>
      <c r="C57" s="29" t="n">
        <f aca="false">STDEV(C34:C53)</f>
        <v>7.84475803673834</v>
      </c>
      <c r="D57" s="29" t="n">
        <f aca="false">STDEV(D34:D53)</f>
        <v>13.231845534819</v>
      </c>
      <c r="E57" s="29" t="n">
        <f aca="false">STDEV(E34:E53)</f>
        <v>4.99631127090672</v>
      </c>
      <c r="F57" s="29" t="n">
        <f aca="false">STDEV(F34:F53)</f>
        <v>10.9621958305305</v>
      </c>
      <c r="G57" s="29" t="n">
        <f aca="false">STDEV(G34:G53)</f>
        <v>6.99992511631281</v>
      </c>
      <c r="H57" s="29" t="n">
        <f aca="false">STDEV(H34:H53)</f>
        <v>5.2580962781779</v>
      </c>
      <c r="I57" s="29" t="n">
        <f aca="false">STDEV(I34:I53)</f>
        <v>6.78300801358942</v>
      </c>
      <c r="J57" s="29" t="n">
        <f aca="false">STDEV(J34:J53)</f>
        <v>8.28060062940036</v>
      </c>
      <c r="K57" s="29" t="n">
        <f aca="false">STDEV(K34:K53)</f>
        <v>9.61506979961466</v>
      </c>
      <c r="L57" s="29" t="n">
        <f aca="false">STDEV(L34:L53)</f>
        <v>7.78666689197308</v>
      </c>
      <c r="M57" s="29" t="n">
        <f aca="false">STDEV(M34:M53)</f>
        <v>5.38848626336992</v>
      </c>
    </row>
    <row r="58" customFormat="false" ht="15" hidden="false" customHeight="false" outlineLevel="0" collapsed="false">
      <c r="A58" s="24" t="s">
        <v>289</v>
      </c>
      <c r="B58" s="25" t="n">
        <f aca="false">MAX(B34:B53)</f>
        <v>22.09</v>
      </c>
      <c r="C58" s="25" t="n">
        <f aca="false">MAX(C34:C53)</f>
        <v>19.05</v>
      </c>
      <c r="D58" s="25" t="n">
        <f aca="false">MAX(D34:D53)</f>
        <v>17.69</v>
      </c>
      <c r="E58" s="25" t="n">
        <f aca="false">MAX(E34:E53)</f>
        <v>19.82</v>
      </c>
      <c r="F58" s="25" t="n">
        <f aca="false">MAX(F34:F53)</f>
        <v>38.69</v>
      </c>
      <c r="G58" s="25" t="n">
        <f aca="false">MAX(G34:G53)</f>
        <v>13.42</v>
      </c>
      <c r="H58" s="25" t="n">
        <f aca="false">MAX(H34:H53)</f>
        <v>12.37</v>
      </c>
      <c r="I58" s="25" t="n">
        <f aca="false">MAX(I34:I53)</f>
        <v>8.6</v>
      </c>
      <c r="J58" s="25" t="n">
        <f aca="false">MAX(J34:J53)</f>
        <v>15.36</v>
      </c>
      <c r="K58" s="25" t="n">
        <f aca="false">MAX(K34:K53)</f>
        <v>16.16</v>
      </c>
      <c r="L58" s="25" t="n">
        <f aca="false">MAX(L34:L53)</f>
        <v>22.66</v>
      </c>
      <c r="M58" s="25" t="n">
        <f aca="false">MAX(M34:M53)</f>
        <v>18.84</v>
      </c>
    </row>
    <row r="59" customFormat="false" ht="15" hidden="false" customHeight="false" outlineLevel="0" collapsed="false">
      <c r="A59" s="24" t="s">
        <v>290</v>
      </c>
      <c r="B59" s="25" t="n">
        <f aca="false">MIN(B34:B53)</f>
        <v>-12.13</v>
      </c>
      <c r="C59" s="25" t="n">
        <f aca="false">MIN(C34:C53)</f>
        <v>-10.6</v>
      </c>
      <c r="D59" s="25" t="n">
        <f aca="false">MIN(D34:D53)</f>
        <v>-33.52</v>
      </c>
      <c r="E59" s="25" t="n">
        <f aca="false">MIN(E34:E53)</f>
        <v>-3.2</v>
      </c>
      <c r="F59" s="25" t="n">
        <f aca="false">MIN(F34:F53)</f>
        <v>-11.24</v>
      </c>
      <c r="G59" s="25" t="n">
        <f aca="false">MIN(G34:G53)</f>
        <v>-16.59</v>
      </c>
      <c r="H59" s="25" t="n">
        <f aca="false">MIN(H34:H53)</f>
        <v>-7.15</v>
      </c>
      <c r="I59" s="25" t="n">
        <f aca="false">MIN(I34:I53)</f>
        <v>-16.79</v>
      </c>
      <c r="J59" s="25" t="n">
        <f aca="false">MIN(J34:J53)</f>
        <v>-13.45</v>
      </c>
      <c r="K59" s="25" t="n">
        <f aca="false">MIN(K34:K53)</f>
        <v>-29.49</v>
      </c>
      <c r="L59" s="25" t="n">
        <f aca="false">MIN(L34:L53)</f>
        <v>-13.88</v>
      </c>
      <c r="M59" s="25" t="n">
        <f aca="false">MIN(M34:M53)</f>
        <v>-4.87</v>
      </c>
    </row>
  </sheetData>
  <mergeCells count="4">
    <mergeCell ref="A1:N1"/>
    <mergeCell ref="A2:N2"/>
    <mergeCell ref="A31:N31"/>
    <mergeCell ref="A32:N32"/>
  </mergeCells>
  <conditionalFormatting sqref="B4:M23">
    <cfRule type="colorScale" priority="2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conditionalFormatting sqref="B34:M53">
    <cfRule type="colorScale" priority="3">
      <colorScale>
        <cfvo type="num" val="-15"/>
        <cfvo type="num" val="0"/>
        <cfvo type="num" val="15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7"/>
    <col collapsed="false" customWidth="true" hidden="false" outlineLevel="0" max="3" min="3" style="1" width="9"/>
    <col collapsed="false" customWidth="true" hidden="false" outlineLevel="0" max="4" min="4" style="1" width="10"/>
    <col collapsed="false" customWidth="true" hidden="false" outlineLevel="0" max="5" min="5" style="1" width="9"/>
    <col collapsed="false" customWidth="true" hidden="false" outlineLevel="0" max="6" min="6" style="1" width="8"/>
    <col collapsed="false" customWidth="true" hidden="false" outlineLevel="0" max="10" min="7" style="1" width="9"/>
    <col collapsed="false" customWidth="true" hidden="false" outlineLevel="0" max="11" min="11" style="1" width="10"/>
  </cols>
  <sheetData>
    <row r="1" customFormat="false" ht="25.5" hidden="false" customHeight="true" outlineLevel="0" collapsed="false">
      <c r="A1" s="2" t="s">
        <v>294</v>
      </c>
      <c r="B1" s="2"/>
      <c r="C1" s="2"/>
      <c r="D1" s="2"/>
      <c r="E1" s="2"/>
      <c r="F1" s="2"/>
      <c r="G1" s="2"/>
      <c r="H1" s="2"/>
      <c r="I1" s="2"/>
      <c r="J1" s="2"/>
      <c r="K1" s="2"/>
    </row>
    <row r="3" customFormat="false" ht="27.75" hidden="false" customHeight="true" outlineLevel="0" collapsed="false">
      <c r="A3" s="4" t="s">
        <v>295</v>
      </c>
      <c r="B3" s="4" t="s">
        <v>296</v>
      </c>
      <c r="C3" s="4" t="s">
        <v>297</v>
      </c>
      <c r="D3" s="4" t="s">
        <v>298</v>
      </c>
      <c r="E3" s="4" t="s">
        <v>288</v>
      </c>
      <c r="F3" s="4" t="s">
        <v>287</v>
      </c>
      <c r="G3" s="4" t="s">
        <v>299</v>
      </c>
      <c r="H3" s="4" t="s">
        <v>300</v>
      </c>
      <c r="I3" s="4" t="s">
        <v>301</v>
      </c>
      <c r="J3" s="4" t="s">
        <v>302</v>
      </c>
      <c r="K3" s="4" t="s">
        <v>303</v>
      </c>
    </row>
    <row r="4" customFormat="false" ht="15" hidden="false" customHeight="true" outlineLevel="0" collapsed="false">
      <c r="A4" s="21" t="s">
        <v>252</v>
      </c>
      <c r="B4" s="7" t="n">
        <v>19</v>
      </c>
      <c r="C4" s="22" t="n">
        <v>-1.06</v>
      </c>
      <c r="D4" s="22" t="n">
        <v>-2.47</v>
      </c>
      <c r="E4" s="22" t="n">
        <v>8.61</v>
      </c>
      <c r="F4" s="33" t="n">
        <v>0.368</v>
      </c>
      <c r="G4" s="22" t="n">
        <v>23.84</v>
      </c>
      <c r="H4" s="7" t="n">
        <v>2012</v>
      </c>
      <c r="I4" s="22" t="n">
        <v>-13.54</v>
      </c>
      <c r="J4" s="7" t="n">
        <v>2009</v>
      </c>
      <c r="K4" s="7" t="s">
        <v>304</v>
      </c>
    </row>
    <row r="5" customFormat="false" ht="15" hidden="false" customHeight="true" outlineLevel="0" collapsed="false">
      <c r="A5" s="34" t="s">
        <v>253</v>
      </c>
      <c r="B5" s="13" t="n">
        <v>19</v>
      </c>
      <c r="C5" s="35" t="n">
        <v>-1.72</v>
      </c>
      <c r="D5" s="35" t="n">
        <v>-2.06</v>
      </c>
      <c r="E5" s="35" t="n">
        <v>6.29</v>
      </c>
      <c r="F5" s="36" t="n">
        <v>0.316</v>
      </c>
      <c r="G5" s="35" t="n">
        <v>12.36</v>
      </c>
      <c r="H5" s="13" t="n">
        <v>2021</v>
      </c>
      <c r="I5" s="35" t="n">
        <v>-11.61</v>
      </c>
      <c r="J5" s="13" t="n">
        <v>2009</v>
      </c>
      <c r="K5" s="13" t="s">
        <v>305</v>
      </c>
    </row>
    <row r="6" customFormat="false" ht="15" hidden="false" customHeight="true" outlineLevel="0" collapsed="false">
      <c r="A6" s="21" t="s">
        <v>254</v>
      </c>
      <c r="B6" s="7" t="n">
        <v>19</v>
      </c>
      <c r="C6" s="22" t="n">
        <v>-0.26</v>
      </c>
      <c r="D6" s="22" t="n">
        <v>1.96</v>
      </c>
      <c r="E6" s="22" t="n">
        <v>13.16</v>
      </c>
      <c r="F6" s="33" t="n">
        <v>0.579</v>
      </c>
      <c r="G6" s="22" t="n">
        <v>19.02</v>
      </c>
      <c r="H6" s="7" t="n">
        <v>2014</v>
      </c>
      <c r="I6" s="22" t="n">
        <v>-35.54</v>
      </c>
      <c r="J6" s="7" t="n">
        <v>2020</v>
      </c>
      <c r="K6" s="7" t="s">
        <v>306</v>
      </c>
    </row>
    <row r="7" customFormat="false" ht="15" hidden="false" customHeight="true" outlineLevel="0" collapsed="false">
      <c r="A7" s="34" t="s">
        <v>255</v>
      </c>
      <c r="B7" s="13" t="n">
        <v>19</v>
      </c>
      <c r="C7" s="35" t="n">
        <v>5.11</v>
      </c>
      <c r="D7" s="35" t="n">
        <v>4.29</v>
      </c>
      <c r="E7" s="35" t="n">
        <v>6.52</v>
      </c>
      <c r="F7" s="36" t="n">
        <v>0.789</v>
      </c>
      <c r="G7" s="35" t="n">
        <v>23.53</v>
      </c>
      <c r="H7" s="13" t="n">
        <v>2009</v>
      </c>
      <c r="I7" s="35" t="n">
        <v>-2.53</v>
      </c>
      <c r="J7" s="13" t="n">
        <v>2019</v>
      </c>
      <c r="K7" s="13" t="s">
        <v>307</v>
      </c>
    </row>
    <row r="8" customFormat="false" ht="15" hidden="false" customHeight="true" outlineLevel="0" collapsed="false">
      <c r="A8" s="21" t="s">
        <v>256</v>
      </c>
      <c r="B8" s="7" t="n">
        <v>19</v>
      </c>
      <c r="C8" s="22" t="n">
        <v>2.6</v>
      </c>
      <c r="D8" s="22" t="n">
        <v>1.18</v>
      </c>
      <c r="E8" s="22" t="n">
        <v>11.27</v>
      </c>
      <c r="F8" s="33" t="n">
        <v>0.526</v>
      </c>
      <c r="G8" s="22" t="n">
        <v>40.12</v>
      </c>
      <c r="H8" s="7" t="n">
        <v>2009</v>
      </c>
      <c r="I8" s="22" t="n">
        <v>-15.3</v>
      </c>
      <c r="J8" s="7" t="n">
        <v>2008</v>
      </c>
      <c r="K8" s="7" t="s">
        <v>308</v>
      </c>
    </row>
    <row r="9" customFormat="false" ht="15" hidden="false" customHeight="true" outlineLevel="0" collapsed="false">
      <c r="A9" s="34" t="s">
        <v>257</v>
      </c>
      <c r="B9" s="13" t="n">
        <v>19</v>
      </c>
      <c r="C9" s="35" t="n">
        <v>-0.42</v>
      </c>
      <c r="D9" s="35" t="n">
        <v>1.3</v>
      </c>
      <c r="E9" s="35" t="n">
        <v>7.02</v>
      </c>
      <c r="F9" s="36" t="n">
        <v>0.526</v>
      </c>
      <c r="G9" s="35" t="n">
        <v>9.61</v>
      </c>
      <c r="H9" s="13" t="n">
        <v>2012</v>
      </c>
      <c r="I9" s="35" t="n">
        <v>-23.57</v>
      </c>
      <c r="J9" s="13" t="n">
        <v>2008</v>
      </c>
      <c r="K9" s="13" t="s">
        <v>308</v>
      </c>
    </row>
    <row r="10" customFormat="false" ht="15" hidden="false" customHeight="true" outlineLevel="0" collapsed="false">
      <c r="A10" s="21" t="s">
        <v>258</v>
      </c>
      <c r="B10" s="7" t="n">
        <v>18</v>
      </c>
      <c r="C10" s="22" t="n">
        <v>1.73</v>
      </c>
      <c r="D10" s="22" t="n">
        <v>1.44</v>
      </c>
      <c r="E10" s="22" t="n">
        <v>6.72</v>
      </c>
      <c r="F10" s="33" t="n">
        <v>0.611</v>
      </c>
      <c r="G10" s="22" t="n">
        <v>13.64</v>
      </c>
      <c r="H10" s="7" t="n">
        <v>2008</v>
      </c>
      <c r="I10" s="22" t="n">
        <v>-13.64</v>
      </c>
      <c r="J10" s="7" t="n">
        <v>2013</v>
      </c>
      <c r="K10" s="7" t="s">
        <v>309</v>
      </c>
    </row>
    <row r="11" customFormat="false" ht="15" hidden="false" customHeight="true" outlineLevel="0" collapsed="false">
      <c r="A11" s="34" t="s">
        <v>259</v>
      </c>
      <c r="B11" s="13" t="n">
        <v>18</v>
      </c>
      <c r="C11" s="35" t="n">
        <v>-0.62</v>
      </c>
      <c r="D11" s="35" t="n">
        <v>-1.18</v>
      </c>
      <c r="E11" s="35" t="n">
        <v>6.5</v>
      </c>
      <c r="F11" s="36" t="n">
        <v>0.444</v>
      </c>
      <c r="G11" s="35" t="n">
        <v>10.26</v>
      </c>
      <c r="H11" s="13" t="n">
        <v>2020</v>
      </c>
      <c r="I11" s="35" t="n">
        <v>-13.44</v>
      </c>
      <c r="J11" s="13" t="n">
        <v>2011</v>
      </c>
      <c r="K11" s="13" t="s">
        <v>310</v>
      </c>
    </row>
    <row r="12" customFormat="false" ht="15" hidden="false" customHeight="true" outlineLevel="0" collapsed="false">
      <c r="A12" s="21" t="s">
        <v>260</v>
      </c>
      <c r="B12" s="7" t="n">
        <v>19</v>
      </c>
      <c r="C12" s="22" t="n">
        <v>2.67</v>
      </c>
      <c r="D12" s="22" t="n">
        <v>1.37</v>
      </c>
      <c r="E12" s="22" t="n">
        <v>8.35</v>
      </c>
      <c r="F12" s="33" t="n">
        <v>0.579</v>
      </c>
      <c r="G12" s="22" t="n">
        <v>18.13</v>
      </c>
      <c r="H12" s="7" t="n">
        <v>2009</v>
      </c>
      <c r="I12" s="22" t="n">
        <v>-10.92</v>
      </c>
      <c r="J12" s="7" t="n">
        <v>2018</v>
      </c>
      <c r="K12" s="7" t="s">
        <v>306</v>
      </c>
    </row>
    <row r="13" customFormat="false" ht="15" hidden="false" customHeight="true" outlineLevel="0" collapsed="false">
      <c r="A13" s="34" t="s">
        <v>261</v>
      </c>
      <c r="B13" s="13" t="n">
        <v>19</v>
      </c>
      <c r="C13" s="35" t="n">
        <v>2.6</v>
      </c>
      <c r="D13" s="35" t="n">
        <v>2.87</v>
      </c>
      <c r="E13" s="35" t="n">
        <v>8.68</v>
      </c>
      <c r="F13" s="36" t="n">
        <v>0.632</v>
      </c>
      <c r="G13" s="35" t="n">
        <v>18.46</v>
      </c>
      <c r="H13" s="13" t="n">
        <v>2013</v>
      </c>
      <c r="I13" s="35" t="n">
        <v>-23.04</v>
      </c>
      <c r="J13" s="13" t="n">
        <v>2008</v>
      </c>
      <c r="K13" s="13" t="s">
        <v>311</v>
      </c>
    </row>
    <row r="14" customFormat="false" ht="15" hidden="false" customHeight="true" outlineLevel="0" collapsed="false">
      <c r="A14" s="21" t="s">
        <v>262</v>
      </c>
      <c r="B14" s="7" t="n">
        <v>19</v>
      </c>
      <c r="C14" s="22" t="n">
        <v>1.47</v>
      </c>
      <c r="D14" s="22" t="n">
        <v>1.68</v>
      </c>
      <c r="E14" s="22" t="n">
        <v>8.07</v>
      </c>
      <c r="F14" s="33" t="n">
        <v>0.684</v>
      </c>
      <c r="G14" s="22" t="n">
        <v>21.51</v>
      </c>
      <c r="H14" s="7" t="n">
        <v>2020</v>
      </c>
      <c r="I14" s="22" t="n">
        <v>-13.48</v>
      </c>
      <c r="J14" s="7" t="n">
        <v>2011</v>
      </c>
      <c r="K14" s="7" t="s">
        <v>312</v>
      </c>
    </row>
    <row r="15" customFormat="false" ht="15" hidden="false" customHeight="true" outlineLevel="0" collapsed="false">
      <c r="A15" s="34" t="s">
        <v>263</v>
      </c>
      <c r="B15" s="13" t="n">
        <v>19</v>
      </c>
      <c r="C15" s="35" t="n">
        <v>0.92</v>
      </c>
      <c r="D15" s="35" t="n">
        <v>0.47</v>
      </c>
      <c r="E15" s="35" t="n">
        <v>5.26</v>
      </c>
      <c r="F15" s="36" t="n">
        <v>0.526</v>
      </c>
      <c r="G15" s="35" t="n">
        <v>15.84</v>
      </c>
      <c r="H15" s="13" t="n">
        <v>2008</v>
      </c>
      <c r="I15" s="35" t="n">
        <v>-10.19</v>
      </c>
      <c r="J15" s="13" t="n">
        <v>2011</v>
      </c>
      <c r="K15" s="13" t="s">
        <v>308</v>
      </c>
    </row>
  </sheetData>
  <mergeCells count="1">
    <mergeCell ref="A1:K1"/>
  </mergeCells>
  <conditionalFormatting sqref="C4:D15">
    <cfRule type="colorScale" priority="2">
      <colorScale>
        <cfvo type="num" val="-3"/>
        <cfvo type="num" val="0"/>
        <cfvo type="num" val="5"/>
        <color rgb="FFF8696B"/>
        <color rgb="FFFFFFFF"/>
        <color rgb="FF63BE7B"/>
      </colorScale>
    </cfRule>
  </conditionalFormatting>
  <conditionalFormatting sqref="F4:F15">
    <cfRule type="colorScale" priority="3">
      <colorScale>
        <cfvo type="num" val="0.3"/>
        <cfvo type="num" val="0.5"/>
        <cfvo type="num" val="0.8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22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1" width="7"/>
    <col collapsed="false" customWidth="true" hidden="false" outlineLevel="0" max="6" min="3" style="1" width="11"/>
    <col collapsed="false" customWidth="true" hidden="false" outlineLevel="0" max="10" min="7" style="1" width="9"/>
    <col collapsed="false" customWidth="true" hidden="false" outlineLevel="0" max="11" min="11" style="1" width="6"/>
  </cols>
  <sheetData>
    <row r="1" customFormat="false" ht="25.5" hidden="false" customHeight="true" outlineLevel="0" collapsed="false">
      <c r="A1" s="2" t="s">
        <v>313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3" customFormat="false" ht="27.75" hidden="false" customHeight="true" outlineLevel="0" collapsed="false">
      <c r="A3" s="4" t="s">
        <v>251</v>
      </c>
      <c r="B3" s="4" t="s">
        <v>295</v>
      </c>
      <c r="C3" s="4" t="s">
        <v>6</v>
      </c>
      <c r="D3" s="4" t="s">
        <v>314</v>
      </c>
      <c r="E3" s="4" t="s">
        <v>315</v>
      </c>
      <c r="F3" s="4" t="s">
        <v>7</v>
      </c>
      <c r="G3" s="4" t="s">
        <v>316</v>
      </c>
      <c r="H3" s="4" t="s">
        <v>317</v>
      </c>
      <c r="I3" s="4" t="s">
        <v>318</v>
      </c>
      <c r="J3" s="4" t="s">
        <v>319</v>
      </c>
      <c r="K3" s="4" t="s">
        <v>320</v>
      </c>
    </row>
    <row r="4" customFormat="false" ht="15" hidden="false" customHeight="true" outlineLevel="0" collapsed="false">
      <c r="A4" s="37" t="n">
        <v>2007</v>
      </c>
      <c r="B4" s="37" t="s">
        <v>260</v>
      </c>
      <c r="C4" s="38" t="n">
        <v>6898</v>
      </c>
      <c r="D4" s="38" t="n">
        <v>8082.85</v>
      </c>
      <c r="E4" s="38" t="n">
        <v>6843</v>
      </c>
      <c r="F4" s="38" t="n">
        <v>8042.2</v>
      </c>
      <c r="G4" s="39" t="n">
        <f aca="false">(F4/C4-1)</f>
        <v>0.165874166425051</v>
      </c>
      <c r="H4" s="39" t="n">
        <f aca="false">(D4/E4-1)</f>
        <v>0.1811851527108</v>
      </c>
      <c r="I4" s="39" t="n">
        <f aca="false">(D4/C4-1)</f>
        <v>0.171767178892433</v>
      </c>
      <c r="J4" s="39" t="n">
        <f aca="false">(E4/C4-1)</f>
        <v>-0.00797332560162367</v>
      </c>
      <c r="K4" s="37" t="n">
        <v>10</v>
      </c>
    </row>
    <row r="5" customFormat="false" ht="15" hidden="false" customHeight="true" outlineLevel="0" collapsed="false">
      <c r="A5" s="37" t="n">
        <v>2007</v>
      </c>
      <c r="B5" s="37" t="s">
        <v>261</v>
      </c>
      <c r="C5" s="38" t="n">
        <v>8008.55</v>
      </c>
      <c r="D5" s="38" t="n">
        <v>9237.8</v>
      </c>
      <c r="E5" s="38" t="n">
        <v>7279.3</v>
      </c>
      <c r="F5" s="38" t="n">
        <v>9013.15</v>
      </c>
      <c r="G5" s="39" t="n">
        <f aca="false">(F5/C5-1)</f>
        <v>0.125440935000718</v>
      </c>
      <c r="H5" s="39" t="n">
        <f aca="false">(D5/E5-1)</f>
        <v>0.269050595524295</v>
      </c>
      <c r="I5" s="39" t="n">
        <f aca="false">(D5/C5-1)</f>
        <v>0.153492205205686</v>
      </c>
      <c r="J5" s="39" t="n">
        <f aca="false">(E5/C5-1)</f>
        <v>-0.091058930767742</v>
      </c>
      <c r="K5" s="37" t="n">
        <v>22</v>
      </c>
    </row>
    <row r="6" customFormat="false" ht="15" hidden="false" customHeight="true" outlineLevel="0" collapsed="false">
      <c r="A6" s="37" t="n">
        <v>2007</v>
      </c>
      <c r="B6" s="37" t="s">
        <v>262</v>
      </c>
      <c r="C6" s="38" t="n">
        <v>9220.4</v>
      </c>
      <c r="D6" s="38" t="n">
        <v>9692.5</v>
      </c>
      <c r="E6" s="38" t="n">
        <v>8429.35</v>
      </c>
      <c r="F6" s="38" t="n">
        <v>9375.75</v>
      </c>
      <c r="G6" s="39" t="n">
        <f aca="false">(F6/C6-1)</f>
        <v>0.016848509826038</v>
      </c>
      <c r="H6" s="39" t="n">
        <f aca="false">(D6/E6-1)</f>
        <v>0.149851412030584</v>
      </c>
      <c r="I6" s="39" t="n">
        <f aca="false">(D6/C6-1)</f>
        <v>0.0512016832241551</v>
      </c>
      <c r="J6" s="39" t="n">
        <f aca="false">(E6/C6-1)</f>
        <v>-0.0857934579844691</v>
      </c>
      <c r="K6" s="37" t="n">
        <v>21</v>
      </c>
    </row>
    <row r="7" customFormat="false" ht="15" hidden="false" customHeight="true" outlineLevel="0" collapsed="false">
      <c r="A7" s="37" t="n">
        <v>2007</v>
      </c>
      <c r="B7" s="37" t="s">
        <v>263</v>
      </c>
      <c r="C7" s="38" t="n">
        <v>9391.2</v>
      </c>
      <c r="D7" s="38" t="n">
        <v>10124.75</v>
      </c>
      <c r="E7" s="38" t="n">
        <v>9125.45</v>
      </c>
      <c r="F7" s="38" t="n">
        <v>9863.45</v>
      </c>
      <c r="G7" s="39" t="n">
        <f aca="false">(F7/C7-1)</f>
        <v>0.0502864383678336</v>
      </c>
      <c r="H7" s="39" t="n">
        <f aca="false">(D7/E7-1)</f>
        <v>0.109506928425448</v>
      </c>
      <c r="I7" s="39" t="n">
        <f aca="false">(D7/C7-1)</f>
        <v>0.0781103586336143</v>
      </c>
      <c r="J7" s="39" t="n">
        <f aca="false">(E7/C7-1)</f>
        <v>-0.0282977681233495</v>
      </c>
      <c r="K7" s="37" t="n">
        <v>19</v>
      </c>
    </row>
    <row r="8" customFormat="false" ht="15" hidden="false" customHeight="true" outlineLevel="0" collapsed="false">
      <c r="A8" s="40" t="n">
        <v>2008</v>
      </c>
      <c r="B8" s="40" t="s">
        <v>252</v>
      </c>
      <c r="C8" s="41" t="n">
        <v>9819.5</v>
      </c>
      <c r="D8" s="41" t="n">
        <v>10774.15</v>
      </c>
      <c r="E8" s="41" t="n">
        <v>7958.95</v>
      </c>
      <c r="F8" s="41" t="n">
        <v>9226.25</v>
      </c>
      <c r="G8" s="42" t="n">
        <f aca="false">(F8/C8-1)</f>
        <v>-0.0604154997708641</v>
      </c>
      <c r="H8" s="42" t="n">
        <f aca="false">(D8/E8-1)</f>
        <v>0.353715000094234</v>
      </c>
      <c r="I8" s="42" t="n">
        <f aca="false">(D8/C8-1)</f>
        <v>0.0972198177096593</v>
      </c>
      <c r="J8" s="42" t="n">
        <f aca="false">(E8/C8-1)</f>
        <v>-0.189475024186568</v>
      </c>
      <c r="K8" s="40" t="n">
        <v>23</v>
      </c>
    </row>
    <row r="9" customFormat="false" ht="15" hidden="false" customHeight="true" outlineLevel="0" collapsed="false">
      <c r="A9" s="40" t="n">
        <v>2008</v>
      </c>
      <c r="B9" s="40" t="s">
        <v>253</v>
      </c>
      <c r="C9" s="41" t="n">
        <v>9320.25</v>
      </c>
      <c r="D9" s="41" t="n">
        <v>9708.6</v>
      </c>
      <c r="E9" s="41" t="n">
        <v>8216.9</v>
      </c>
      <c r="F9" s="41" t="n">
        <v>8688.35</v>
      </c>
      <c r="G9" s="42" t="n">
        <f aca="false">(F9/C9-1)</f>
        <v>-0.067798610552292</v>
      </c>
      <c r="H9" s="42" t="n">
        <f aca="false">(D9/E9-1)</f>
        <v>0.181540483637382</v>
      </c>
      <c r="I9" s="42" t="n">
        <f aca="false">(D9/C9-1)</f>
        <v>0.0416673372495373</v>
      </c>
      <c r="J9" s="42" t="n">
        <f aca="false">(E9/C9-1)</f>
        <v>-0.118382017649741</v>
      </c>
      <c r="K9" s="40" t="n">
        <v>21</v>
      </c>
    </row>
    <row r="10" customFormat="false" ht="15" hidden="false" customHeight="true" outlineLevel="0" collapsed="false">
      <c r="A10" s="40" t="n">
        <v>2008</v>
      </c>
      <c r="B10" s="40" t="s">
        <v>254</v>
      </c>
      <c r="C10" s="41" t="n">
        <v>8460.6</v>
      </c>
      <c r="D10" s="41" t="n">
        <v>8460.6</v>
      </c>
      <c r="E10" s="41" t="n">
        <v>6335</v>
      </c>
      <c r="F10" s="41" t="n">
        <v>6655</v>
      </c>
      <c r="G10" s="42" t="n">
        <f aca="false">(F10/C10-1)</f>
        <v>-0.213412760324327</v>
      </c>
      <c r="H10" s="42" t="n">
        <f aca="false">(D10/E10-1)</f>
        <v>0.335532754538279</v>
      </c>
      <c r="I10" s="42" t="n">
        <f aca="false">(D10/C10-1)</f>
        <v>0</v>
      </c>
      <c r="J10" s="42" t="n">
        <f aca="false">(E10/C10-1)</f>
        <v>-0.251235136987921</v>
      </c>
      <c r="K10" s="40" t="n">
        <v>18</v>
      </c>
    </row>
    <row r="11" customFormat="false" ht="15" hidden="false" customHeight="true" outlineLevel="0" collapsed="false">
      <c r="A11" s="40" t="n">
        <v>2008</v>
      </c>
      <c r="B11" s="40" t="s">
        <v>255</v>
      </c>
      <c r="C11" s="41" t="n">
        <v>6706.7</v>
      </c>
      <c r="D11" s="41" t="n">
        <v>7815.9</v>
      </c>
      <c r="E11" s="41" t="n">
        <v>6446.7</v>
      </c>
      <c r="F11" s="41" t="n">
        <v>7629</v>
      </c>
      <c r="G11" s="42" t="n">
        <f aca="false">(F11/C11-1)</f>
        <v>0.13751919722069</v>
      </c>
      <c r="H11" s="42" t="n">
        <f aca="false">(D11/E11-1)</f>
        <v>0.212387733258877</v>
      </c>
      <c r="I11" s="42" t="n">
        <f aca="false">(D11/C11-1)</f>
        <v>0.165386851954016</v>
      </c>
      <c r="J11" s="42" t="n">
        <f aca="false">(E11/C11-1)</f>
        <v>-0.0387672029463074</v>
      </c>
      <c r="K11" s="40" t="n">
        <v>20</v>
      </c>
    </row>
    <row r="12" customFormat="false" ht="15" hidden="false" customHeight="true" outlineLevel="0" collapsed="false">
      <c r="A12" s="40" t="n">
        <v>2008</v>
      </c>
      <c r="B12" s="40" t="s">
        <v>256</v>
      </c>
      <c r="C12" s="41" t="n">
        <v>7774.1</v>
      </c>
      <c r="D12" s="41" t="n">
        <v>7990.45</v>
      </c>
      <c r="E12" s="41" t="n">
        <v>6502.45</v>
      </c>
      <c r="F12" s="41" t="n">
        <v>6584.35</v>
      </c>
      <c r="G12" s="42" t="n">
        <f aca="false">(F12/C12-1)</f>
        <v>-0.153040223305592</v>
      </c>
      <c r="H12" s="42" t="n">
        <f aca="false">(D12/E12-1)</f>
        <v>0.228836823043622</v>
      </c>
      <c r="I12" s="42" t="n">
        <f aca="false">(D12/C12-1)</f>
        <v>0.0278295879908927</v>
      </c>
      <c r="J12" s="42" t="n">
        <f aca="false">(E12/C12-1)</f>
        <v>-0.163575204846863</v>
      </c>
      <c r="K12" s="40" t="n">
        <v>20</v>
      </c>
    </row>
    <row r="13" customFormat="false" ht="15" hidden="false" customHeight="true" outlineLevel="0" collapsed="false">
      <c r="A13" s="40" t="n">
        <v>2008</v>
      </c>
      <c r="B13" s="40" t="s">
        <v>257</v>
      </c>
      <c r="C13" s="41" t="n">
        <v>6577.3</v>
      </c>
      <c r="D13" s="41" t="n">
        <v>6677.15</v>
      </c>
      <c r="E13" s="41" t="n">
        <v>4996.85</v>
      </c>
      <c r="F13" s="41" t="n">
        <v>5027.05</v>
      </c>
      <c r="G13" s="42" t="n">
        <f aca="false">(F13/C13-1)</f>
        <v>-0.235697018533441</v>
      </c>
      <c r="H13" s="42" t="n">
        <f aca="false">(D13/E13-1)</f>
        <v>0.336271851266298</v>
      </c>
      <c r="I13" s="42" t="n">
        <f aca="false">(D13/C13-1)</f>
        <v>0.0151810013227311</v>
      </c>
      <c r="J13" s="42" t="n">
        <f aca="false">(E13/C13-1)</f>
        <v>-0.240288568257492</v>
      </c>
      <c r="K13" s="40" t="n">
        <v>21</v>
      </c>
    </row>
    <row r="14" customFormat="false" ht="15" hidden="false" customHeight="true" outlineLevel="0" collapsed="false">
      <c r="A14" s="40" t="n">
        <v>2008</v>
      </c>
      <c r="B14" s="40" t="s">
        <v>258</v>
      </c>
      <c r="C14" s="41" t="n">
        <v>5042.1</v>
      </c>
      <c r="D14" s="41" t="n">
        <v>6468.4</v>
      </c>
      <c r="E14" s="41" t="n">
        <v>4633.95</v>
      </c>
      <c r="F14" s="41" t="n">
        <v>5730.05</v>
      </c>
      <c r="G14" s="42" t="n">
        <f aca="false">(F14/C14-1)</f>
        <v>0.136441165387438</v>
      </c>
      <c r="H14" s="42" t="n">
        <f aca="false">(D14/E14-1)</f>
        <v>0.395871772461939</v>
      </c>
      <c r="I14" s="42" t="n">
        <f aca="false">(D14/C14-1)</f>
        <v>0.282878165843597</v>
      </c>
      <c r="J14" s="42" t="n">
        <f aca="false">(E14/C14-1)</f>
        <v>-0.0809484143511633</v>
      </c>
      <c r="K14" s="40" t="n">
        <v>23</v>
      </c>
    </row>
    <row r="15" customFormat="false" ht="15" hidden="false" customHeight="true" outlineLevel="0" collapsed="false">
      <c r="A15" s="40" t="n">
        <v>2008</v>
      </c>
      <c r="B15" s="40" t="s">
        <v>259</v>
      </c>
      <c r="C15" s="41" t="n">
        <v>5655.35</v>
      </c>
      <c r="D15" s="41" t="n">
        <v>6754.45</v>
      </c>
      <c r="E15" s="41" t="n">
        <v>5546.9</v>
      </c>
      <c r="F15" s="41" t="n">
        <v>6102.05</v>
      </c>
      <c r="G15" s="42" t="n">
        <f aca="false">(F15/C15-1)</f>
        <v>0.0789871537570619</v>
      </c>
      <c r="H15" s="42" t="n">
        <f aca="false">(D15/E15-1)</f>
        <v>0.21769817375471</v>
      </c>
      <c r="I15" s="42" t="n">
        <f aca="false">(D15/C15-1)</f>
        <v>0.194346945812372</v>
      </c>
      <c r="J15" s="42" t="n">
        <f aca="false">(E15/C15-1)</f>
        <v>-0.0191765319564662</v>
      </c>
      <c r="K15" s="40" t="n">
        <v>20</v>
      </c>
    </row>
    <row r="16" customFormat="false" ht="15" hidden="false" customHeight="true" outlineLevel="0" collapsed="false">
      <c r="A16" s="40" t="n">
        <v>2008</v>
      </c>
      <c r="B16" s="40" t="s">
        <v>260</v>
      </c>
      <c r="C16" s="41" t="n">
        <v>6070.9</v>
      </c>
      <c r="D16" s="41" t="n">
        <v>6631.95</v>
      </c>
      <c r="E16" s="41" t="n">
        <v>5296.6</v>
      </c>
      <c r="F16" s="41" t="n">
        <v>5803.55</v>
      </c>
      <c r="G16" s="42" t="n">
        <f aca="false">(F16/C16-1)</f>
        <v>-0.0440379515393105</v>
      </c>
      <c r="H16" s="42" t="n">
        <f aca="false">(D16/E16-1)</f>
        <v>0.252114564059963</v>
      </c>
      <c r="I16" s="42" t="n">
        <f aca="false">(D16/C16-1)</f>
        <v>0.0924162809468119</v>
      </c>
      <c r="J16" s="42" t="n">
        <f aca="false">(E16/C16-1)</f>
        <v>-0.127542868437958</v>
      </c>
      <c r="K16" s="40" t="n">
        <v>21</v>
      </c>
    </row>
    <row r="17" customFormat="false" ht="15" hidden="false" customHeight="true" outlineLevel="0" collapsed="false">
      <c r="A17" s="40" t="n">
        <v>2008</v>
      </c>
      <c r="B17" s="40" t="s">
        <v>261</v>
      </c>
      <c r="C17" s="41" t="n">
        <v>5875.55</v>
      </c>
      <c r="D17" s="41" t="n">
        <v>6040.15</v>
      </c>
      <c r="E17" s="41" t="n">
        <v>3799.35</v>
      </c>
      <c r="F17" s="41" t="n">
        <v>4521.7</v>
      </c>
      <c r="G17" s="42" t="n">
        <f aca="false">(F17/C17-1)</f>
        <v>-0.230420981865528</v>
      </c>
      <c r="H17" s="42" t="n">
        <f aca="false">(D17/E17-1)</f>
        <v>0.589785094818851</v>
      </c>
      <c r="I17" s="42" t="n">
        <f aca="false">(D17/C17-1)</f>
        <v>0.0280143986520409</v>
      </c>
      <c r="J17" s="42" t="n">
        <f aca="false">(E17/C17-1)</f>
        <v>-0.353362663920825</v>
      </c>
      <c r="K17" s="40" t="n">
        <v>19</v>
      </c>
    </row>
    <row r="18" customFormat="false" ht="15" hidden="false" customHeight="true" outlineLevel="0" collapsed="false">
      <c r="A18" s="40" t="n">
        <v>2008</v>
      </c>
      <c r="B18" s="40" t="s">
        <v>262</v>
      </c>
      <c r="C18" s="41" t="n">
        <v>4791.8</v>
      </c>
      <c r="D18" s="41" t="n">
        <v>5431.9</v>
      </c>
      <c r="E18" s="41" t="n">
        <v>3972.15</v>
      </c>
      <c r="F18" s="41" t="n">
        <v>4291.15</v>
      </c>
      <c r="G18" s="42" t="n">
        <f aca="false">(F18/C18-1)</f>
        <v>-0.104480570975416</v>
      </c>
      <c r="H18" s="42" t="n">
        <f aca="false">(D18/E18-1)</f>
        <v>0.36749619223846</v>
      </c>
      <c r="I18" s="42" t="n">
        <f aca="false">(D18/C18-1)</f>
        <v>0.133582369881881</v>
      </c>
      <c r="J18" s="42" t="n">
        <f aca="false">(E18/C18-1)</f>
        <v>-0.171052631578947</v>
      </c>
      <c r="K18" s="40" t="n">
        <v>18</v>
      </c>
    </row>
    <row r="19" customFormat="false" ht="15" hidden="false" customHeight="true" outlineLevel="0" collapsed="false">
      <c r="A19" s="40" t="n">
        <v>2008</v>
      </c>
      <c r="B19" s="40" t="s">
        <v>263</v>
      </c>
      <c r="C19" s="41" t="n">
        <v>4317.8</v>
      </c>
      <c r="D19" s="41" t="n">
        <v>5226.85</v>
      </c>
      <c r="E19" s="41" t="n">
        <v>3919</v>
      </c>
      <c r="F19" s="41" t="n">
        <v>5001.55</v>
      </c>
      <c r="G19" s="42" t="n">
        <f aca="false">(F19/C19-1)</f>
        <v>0.158356107276854</v>
      </c>
      <c r="H19" s="42" t="n">
        <f aca="false">(D19/E19-1)</f>
        <v>0.333720336820618</v>
      </c>
      <c r="I19" s="42" t="n">
        <f aca="false">(D19/C19-1)</f>
        <v>0.210535457872064</v>
      </c>
      <c r="J19" s="42" t="n">
        <f aca="false">(E19/C19-1)</f>
        <v>-0.0923618509426097</v>
      </c>
      <c r="K19" s="40" t="n">
        <v>21</v>
      </c>
    </row>
    <row r="20" customFormat="false" ht="15" hidden="false" customHeight="true" outlineLevel="0" collapsed="false">
      <c r="A20" s="37" t="n">
        <v>2009</v>
      </c>
      <c r="B20" s="37" t="s">
        <v>252</v>
      </c>
      <c r="C20" s="38" t="n">
        <v>5154.2</v>
      </c>
      <c r="D20" s="38" t="n">
        <v>5448.8</v>
      </c>
      <c r="E20" s="38" t="n">
        <v>4049.9</v>
      </c>
      <c r="F20" s="38" t="n">
        <v>4456.55</v>
      </c>
      <c r="G20" s="39" t="n">
        <f aca="false">(F20/C20-1)</f>
        <v>-0.135355632299872</v>
      </c>
      <c r="H20" s="39" t="n">
        <f aca="false">(D20/E20-1)</f>
        <v>0.345415936195955</v>
      </c>
      <c r="I20" s="39" t="n">
        <f aca="false">(D20/C20-1)</f>
        <v>0.057157269799387</v>
      </c>
      <c r="J20" s="39" t="n">
        <f aca="false">(E20/C20-1)</f>
        <v>-0.214252454309107</v>
      </c>
      <c r="K20" s="37" t="n">
        <v>19</v>
      </c>
    </row>
    <row r="21" customFormat="false" ht="15" hidden="false" customHeight="true" outlineLevel="0" collapsed="false">
      <c r="A21" s="37" t="n">
        <v>2009</v>
      </c>
      <c r="B21" s="37" t="s">
        <v>253</v>
      </c>
      <c r="C21" s="38" t="n">
        <v>4403.9</v>
      </c>
      <c r="D21" s="38" t="n">
        <v>4602.15</v>
      </c>
      <c r="E21" s="38" t="n">
        <v>3758.4</v>
      </c>
      <c r="F21" s="38" t="n">
        <v>3892.4</v>
      </c>
      <c r="G21" s="39" t="n">
        <f aca="false">(F21/C21-1)</f>
        <v>-0.1161470514771</v>
      </c>
      <c r="H21" s="39" t="n">
        <f aca="false">(D21/E21-1)</f>
        <v>0.224497126436781</v>
      </c>
      <c r="I21" s="39" t="n">
        <f aca="false">(D21/C21-1)</f>
        <v>0.0450169168237244</v>
      </c>
      <c r="J21" s="39" t="n">
        <f aca="false">(E21/C21-1)</f>
        <v>-0.146574627035128</v>
      </c>
      <c r="K21" s="37" t="n">
        <v>19</v>
      </c>
    </row>
    <row r="22" customFormat="false" ht="15" hidden="false" customHeight="true" outlineLevel="0" collapsed="false">
      <c r="A22" s="37" t="n">
        <v>2009</v>
      </c>
      <c r="B22" s="37" t="s">
        <v>254</v>
      </c>
      <c r="C22" s="38" t="n">
        <v>3831.25</v>
      </c>
      <c r="D22" s="38" t="n">
        <v>4423.65</v>
      </c>
      <c r="E22" s="38" t="n">
        <v>3314.55</v>
      </c>
      <c r="F22" s="38" t="n">
        <v>4133.2</v>
      </c>
      <c r="G22" s="39" t="n">
        <f aca="false">(F22/C22-1)</f>
        <v>0.0788123980424142</v>
      </c>
      <c r="H22" s="39" t="n">
        <f aca="false">(D22/E22-1)</f>
        <v>0.334615558673123</v>
      </c>
      <c r="I22" s="39" t="n">
        <f aca="false">(D22/C22-1)</f>
        <v>0.154623164763458</v>
      </c>
      <c r="J22" s="39" t="n">
        <f aca="false">(E22/C22-1)</f>
        <v>-0.134864600326264</v>
      </c>
      <c r="K22" s="37" t="n">
        <v>20</v>
      </c>
    </row>
    <row r="23" customFormat="false" ht="15" hidden="false" customHeight="true" outlineLevel="0" collapsed="false">
      <c r="A23" s="37" t="n">
        <v>2009</v>
      </c>
      <c r="B23" s="37" t="s">
        <v>255</v>
      </c>
      <c r="C23" s="38" t="n">
        <v>4153.55</v>
      </c>
      <c r="D23" s="38" t="n">
        <v>5288.7</v>
      </c>
      <c r="E23" s="38" t="n">
        <v>4023.45</v>
      </c>
      <c r="F23" s="38" t="n">
        <v>5130.95</v>
      </c>
      <c r="G23" s="39" t="n">
        <f aca="false">(F23/C23-1)</f>
        <v>0.235316777214672</v>
      </c>
      <c r="H23" s="39" t="n">
        <f aca="false">(D23/E23-1)</f>
        <v>0.314468925921784</v>
      </c>
      <c r="I23" s="39" t="n">
        <f aca="false">(D23/C23-1)</f>
        <v>0.273296336868462</v>
      </c>
      <c r="J23" s="39" t="n">
        <f aca="false">(E23/C23-1)</f>
        <v>-0.0313226035559944</v>
      </c>
      <c r="K23" s="37" t="n">
        <v>17</v>
      </c>
    </row>
    <row r="24" customFormat="false" ht="15" hidden="false" customHeight="true" outlineLevel="0" collapsed="false">
      <c r="A24" s="37" t="n">
        <v>2009</v>
      </c>
      <c r="B24" s="37" t="s">
        <v>256</v>
      </c>
      <c r="C24" s="38" t="n">
        <v>5291.25</v>
      </c>
      <c r="D24" s="38" t="n">
        <v>7567.9</v>
      </c>
      <c r="E24" s="38" t="n">
        <v>5291.25</v>
      </c>
      <c r="F24" s="38" t="n">
        <v>7414.35</v>
      </c>
      <c r="G24" s="39" t="n">
        <f aca="false">(F24/C24-1)</f>
        <v>0.401247342310418</v>
      </c>
      <c r="H24" s="39" t="n">
        <f aca="false">(D24/E24-1)</f>
        <v>0.430266950153555</v>
      </c>
      <c r="I24" s="39" t="n">
        <f aca="false">(D24/C24-1)</f>
        <v>0.430266950153555</v>
      </c>
      <c r="J24" s="39" t="n">
        <f aca="false">(E24/C24-1)</f>
        <v>0</v>
      </c>
      <c r="K24" s="37" t="n">
        <v>20</v>
      </c>
    </row>
    <row r="25" customFormat="false" ht="15" hidden="false" customHeight="true" outlineLevel="0" collapsed="false">
      <c r="A25" s="37" t="n">
        <v>2009</v>
      </c>
      <c r="B25" s="37" t="s">
        <v>257</v>
      </c>
      <c r="C25" s="38" t="n">
        <v>7559.3</v>
      </c>
      <c r="D25" s="38" t="n">
        <v>7626.95</v>
      </c>
      <c r="E25" s="38" t="n">
        <v>6909.5</v>
      </c>
      <c r="F25" s="38" t="n">
        <v>7338.85</v>
      </c>
      <c r="G25" s="39" t="n">
        <f aca="false">(F25/C25-1)</f>
        <v>-0.0291627531649755</v>
      </c>
      <c r="H25" s="39" t="n">
        <f aca="false">(D25/E25-1)</f>
        <v>0.103835299225704</v>
      </c>
      <c r="I25" s="39" t="n">
        <f aca="false">(D25/C25-1)</f>
        <v>0.00894924133186925</v>
      </c>
      <c r="J25" s="39" t="n">
        <f aca="false">(E25/C25-1)</f>
        <v>-0.0859603402431443</v>
      </c>
      <c r="K25" s="37" t="n">
        <v>22</v>
      </c>
    </row>
    <row r="26" customFormat="false" ht="15" hidden="false" customHeight="true" outlineLevel="0" collapsed="false">
      <c r="A26" s="37" t="n">
        <v>2009</v>
      </c>
      <c r="B26" s="37" t="s">
        <v>258</v>
      </c>
      <c r="C26" s="38" t="n">
        <v>7325.1</v>
      </c>
      <c r="D26" s="38" t="n">
        <v>7711.4</v>
      </c>
      <c r="E26" s="38" t="n">
        <v>6393.5</v>
      </c>
      <c r="F26" s="38" t="n">
        <v>7544.5</v>
      </c>
      <c r="G26" s="39" t="n">
        <f aca="false">(F26/C26-1)</f>
        <v>0.0299518095316105</v>
      </c>
      <c r="H26" s="39" t="n">
        <f aca="false">(D26/E26-1)</f>
        <v>0.20613122702745</v>
      </c>
      <c r="I26" s="39" t="n">
        <f aca="false">(D26/C26-1)</f>
        <v>0.052736481413223</v>
      </c>
      <c r="J26" s="39" t="n">
        <f aca="false">(E26/C26-1)</f>
        <v>-0.127179151137868</v>
      </c>
      <c r="K26" s="37" t="n">
        <v>23</v>
      </c>
    </row>
    <row r="27" customFormat="false" ht="15" hidden="false" customHeight="true" outlineLevel="0" collapsed="false">
      <c r="A27" s="37" t="n">
        <v>2009</v>
      </c>
      <c r="B27" s="37" t="s">
        <v>259</v>
      </c>
      <c r="C27" s="38" t="n">
        <v>7564.05</v>
      </c>
      <c r="D27" s="38" t="n">
        <v>7720.35</v>
      </c>
      <c r="E27" s="38" t="n">
        <v>6988.55</v>
      </c>
      <c r="F27" s="38" t="n">
        <v>7431.65</v>
      </c>
      <c r="G27" s="39" t="n">
        <f aca="false">(F27/C27-1)</f>
        <v>-0.0175038504504863</v>
      </c>
      <c r="H27" s="39" t="n">
        <f aca="false">(D27/E27-1)</f>
        <v>0.104714139556847</v>
      </c>
      <c r="I27" s="39" t="n">
        <f aca="false">(D27/C27-1)</f>
        <v>0.0206635334245544</v>
      </c>
      <c r="J27" s="39" t="n">
        <f aca="false">(E27/C27-1)</f>
        <v>-0.076083579563858</v>
      </c>
      <c r="K27" s="37" t="n">
        <v>21</v>
      </c>
    </row>
    <row r="28" customFormat="false" ht="15" hidden="false" customHeight="true" outlineLevel="0" collapsed="false">
      <c r="A28" s="37" t="n">
        <v>2009</v>
      </c>
      <c r="B28" s="37" t="s">
        <v>260</v>
      </c>
      <c r="C28" s="38" t="n">
        <v>7459.6</v>
      </c>
      <c r="D28" s="38" t="n">
        <v>8832.25</v>
      </c>
      <c r="E28" s="38" t="n">
        <v>7292.7</v>
      </c>
      <c r="F28" s="38" t="n">
        <v>8812.35</v>
      </c>
      <c r="G28" s="39" t="n">
        <f aca="false">(F28/C28-1)</f>
        <v>0.181343503673119</v>
      </c>
      <c r="H28" s="39" t="n">
        <f aca="false">(D28/E28-1)</f>
        <v>0.211108368642615</v>
      </c>
      <c r="I28" s="39" t="n">
        <f aca="false">(D28/C28-1)</f>
        <v>0.18401120703523</v>
      </c>
      <c r="J28" s="39" t="n">
        <f aca="false">(E28/C28-1)</f>
        <v>-0.0223738538259425</v>
      </c>
      <c r="K28" s="37" t="n">
        <v>20</v>
      </c>
    </row>
    <row r="29" customFormat="false" ht="15" hidden="false" customHeight="true" outlineLevel="0" collapsed="false">
      <c r="A29" s="37" t="n">
        <v>2009</v>
      </c>
      <c r="B29" s="37" t="s">
        <v>261</v>
      </c>
      <c r="C29" s="38" t="n">
        <v>8835.3</v>
      </c>
      <c r="D29" s="38" t="n">
        <v>9630.35</v>
      </c>
      <c r="E29" s="38" t="n">
        <v>8370.15</v>
      </c>
      <c r="F29" s="38" t="n">
        <v>8438.6</v>
      </c>
      <c r="G29" s="39" t="n">
        <f aca="false">(F29/C29-1)</f>
        <v>-0.0448994374837299</v>
      </c>
      <c r="H29" s="39" t="n">
        <f aca="false">(D29/E29-1)</f>
        <v>0.15055883108427</v>
      </c>
      <c r="I29" s="39" t="n">
        <f aca="false">(D29/C29-1)</f>
        <v>0.0899856258417939</v>
      </c>
      <c r="J29" s="39" t="n">
        <f aca="false">(E29/C29-1)</f>
        <v>-0.052646769209874</v>
      </c>
      <c r="K29" s="37" t="n">
        <v>19</v>
      </c>
    </row>
    <row r="30" customFormat="false" ht="15" hidden="false" customHeight="true" outlineLevel="0" collapsed="false">
      <c r="A30" s="37" t="n">
        <v>2009</v>
      </c>
      <c r="B30" s="37" t="s">
        <v>262</v>
      </c>
      <c r="C30" s="38" t="n">
        <v>8372.1</v>
      </c>
      <c r="D30" s="38" t="n">
        <v>9355.4</v>
      </c>
      <c r="E30" s="38" t="n">
        <v>8207.75</v>
      </c>
      <c r="F30" s="38" t="n">
        <v>9046.95</v>
      </c>
      <c r="G30" s="39" t="n">
        <f aca="false">(F30/C30-1)</f>
        <v>0.0806070161608199</v>
      </c>
      <c r="H30" s="39" t="n">
        <f aca="false">(D30/E30-1)</f>
        <v>0.139825165240169</v>
      </c>
      <c r="I30" s="39" t="n">
        <f aca="false">(D30/C30-1)</f>
        <v>0.117449624347535</v>
      </c>
      <c r="J30" s="39" t="n">
        <f aca="false">(E30/C30-1)</f>
        <v>-0.0196306780855461</v>
      </c>
      <c r="K30" s="37" t="n">
        <v>20</v>
      </c>
    </row>
    <row r="31" customFormat="false" ht="15" hidden="false" customHeight="true" outlineLevel="0" collapsed="false">
      <c r="A31" s="37" t="n">
        <v>2009</v>
      </c>
      <c r="B31" s="37" t="s">
        <v>263</v>
      </c>
      <c r="C31" s="38" t="n">
        <v>9056.05</v>
      </c>
      <c r="D31" s="38" t="n">
        <v>9435.9</v>
      </c>
      <c r="E31" s="38" t="n">
        <v>8560.15</v>
      </c>
      <c r="F31" s="38" t="n">
        <v>9029.5</v>
      </c>
      <c r="G31" s="39" t="n">
        <f aca="false">(F31/C31-1)</f>
        <v>-0.00293174176379318</v>
      </c>
      <c r="H31" s="39" t="n">
        <f aca="false">(D31/E31-1)</f>
        <v>0.102305450254961</v>
      </c>
      <c r="I31" s="39" t="n">
        <f aca="false">(D31/C31-1)</f>
        <v>0.0419443355546845</v>
      </c>
      <c r="J31" s="39" t="n">
        <f aca="false">(E31/C31-1)</f>
        <v>-0.0547589732830538</v>
      </c>
      <c r="K31" s="37" t="n">
        <v>21</v>
      </c>
    </row>
    <row r="32" customFormat="false" ht="15" hidden="false" customHeight="true" outlineLevel="0" collapsed="false">
      <c r="A32" s="40" t="n">
        <v>2010</v>
      </c>
      <c r="B32" s="40" t="s">
        <v>252</v>
      </c>
      <c r="C32" s="41" t="n">
        <v>9031.9</v>
      </c>
      <c r="D32" s="41" t="n">
        <v>9265.55</v>
      </c>
      <c r="E32" s="41" t="n">
        <v>8294.6</v>
      </c>
      <c r="F32" s="41" t="n">
        <v>8651.55</v>
      </c>
      <c r="G32" s="42" t="n">
        <f aca="false">(F32/C32-1)</f>
        <v>-0.0421118480054031</v>
      </c>
      <c r="H32" s="42" t="n">
        <f aca="false">(D32/E32-1)</f>
        <v>0.117058085983652</v>
      </c>
      <c r="I32" s="42" t="n">
        <f aca="false">(D32/C32-1)</f>
        <v>0.0258694183948005</v>
      </c>
      <c r="J32" s="42" t="n">
        <f aca="false">(E32/C32-1)</f>
        <v>-0.0816328790177039</v>
      </c>
      <c r="K32" s="40" t="n">
        <v>19</v>
      </c>
    </row>
    <row r="33" customFormat="false" ht="15" hidden="false" customHeight="true" outlineLevel="0" collapsed="false">
      <c r="A33" s="40" t="n">
        <v>2010</v>
      </c>
      <c r="B33" s="40" t="s">
        <v>253</v>
      </c>
      <c r="C33" s="41" t="n">
        <v>8597.45</v>
      </c>
      <c r="D33" s="41" t="n">
        <v>8851.35</v>
      </c>
      <c r="E33" s="41" t="n">
        <v>8150.45</v>
      </c>
      <c r="F33" s="41" t="n">
        <v>8722.75</v>
      </c>
      <c r="G33" s="42" t="n">
        <f aca="false">(F33/C33-1)</f>
        <v>0.0145740888286643</v>
      </c>
      <c r="H33" s="42" t="n">
        <f aca="false">(D33/E33-1)</f>
        <v>0.0859952517959133</v>
      </c>
      <c r="I33" s="42" t="n">
        <f aca="false">(D33/C33-1)</f>
        <v>0.0295320123990253</v>
      </c>
      <c r="J33" s="42" t="n">
        <f aca="false">(E33/C33-1)</f>
        <v>-0.0519921604661848</v>
      </c>
      <c r="K33" s="40" t="n">
        <v>19</v>
      </c>
    </row>
    <row r="34" customFormat="false" ht="15" hidden="false" customHeight="true" outlineLevel="0" collapsed="false">
      <c r="A34" s="40" t="n">
        <v>2010</v>
      </c>
      <c r="B34" s="40" t="s">
        <v>254</v>
      </c>
      <c r="C34" s="41" t="n">
        <v>8826.9</v>
      </c>
      <c r="D34" s="41" t="n">
        <v>9587.65</v>
      </c>
      <c r="E34" s="41" t="n">
        <v>8826.9</v>
      </c>
      <c r="F34" s="41" t="n">
        <v>9459.6</v>
      </c>
      <c r="G34" s="42" t="n">
        <f aca="false">(F34/C34-1)</f>
        <v>0.0716786187676308</v>
      </c>
      <c r="H34" s="42" t="n">
        <f aca="false">(D34/E34-1)</f>
        <v>0.0861854105065198</v>
      </c>
      <c r="I34" s="42" t="n">
        <f aca="false">(D34/C34-1)</f>
        <v>0.0861854105065198</v>
      </c>
      <c r="J34" s="42" t="n">
        <f aca="false">(E34/C34-1)</f>
        <v>0</v>
      </c>
      <c r="K34" s="40" t="n">
        <v>21</v>
      </c>
    </row>
    <row r="35" customFormat="false" ht="15" hidden="false" customHeight="true" outlineLevel="0" collapsed="false">
      <c r="A35" s="40" t="n">
        <v>2010</v>
      </c>
      <c r="B35" s="40" t="s">
        <v>255</v>
      </c>
      <c r="C35" s="41" t="n">
        <v>9464.15</v>
      </c>
      <c r="D35" s="41" t="n">
        <v>9923.15</v>
      </c>
      <c r="E35" s="41" t="n">
        <v>9206</v>
      </c>
      <c r="F35" s="41" t="n">
        <v>9870.35</v>
      </c>
      <c r="G35" s="42" t="n">
        <f aca="false">(F35/C35-1)</f>
        <v>0.0429198607376258</v>
      </c>
      <c r="H35" s="42" t="n">
        <f aca="false">(D35/E35-1)</f>
        <v>0.0779002824245056</v>
      </c>
      <c r="I35" s="42" t="n">
        <f aca="false">(D35/C35-1)</f>
        <v>0.0484988086621621</v>
      </c>
      <c r="J35" s="42" t="n">
        <f aca="false">(E35/C35-1)</f>
        <v>-0.0272766175514969</v>
      </c>
      <c r="K35" s="40" t="n">
        <v>20</v>
      </c>
    </row>
    <row r="36" customFormat="false" ht="15" hidden="false" customHeight="true" outlineLevel="0" collapsed="false">
      <c r="A36" s="40" t="n">
        <v>2010</v>
      </c>
      <c r="B36" s="40" t="s">
        <v>256</v>
      </c>
      <c r="C36" s="41" t="n">
        <v>9809.4</v>
      </c>
      <c r="D36" s="41" t="n">
        <v>9863.45</v>
      </c>
      <c r="E36" s="41" t="n">
        <v>8806.65</v>
      </c>
      <c r="F36" s="41" t="n">
        <v>9363.7</v>
      </c>
      <c r="G36" s="42" t="n">
        <f aca="false">(F36/C36-1)</f>
        <v>-0.0454360103574122</v>
      </c>
      <c r="H36" s="42" t="n">
        <f aca="false">(D36/E36-1)</f>
        <v>0.120000227101111</v>
      </c>
      <c r="I36" s="42" t="n">
        <f aca="false">(D36/C36-1)</f>
        <v>0.00551002100026521</v>
      </c>
      <c r="J36" s="42" t="n">
        <f aca="false">(E36/C36-1)</f>
        <v>-0.10222337757661</v>
      </c>
      <c r="K36" s="40" t="n">
        <v>21</v>
      </c>
    </row>
    <row r="37" customFormat="false" ht="15" hidden="false" customHeight="true" outlineLevel="0" collapsed="false">
      <c r="A37" s="40" t="n">
        <v>2010</v>
      </c>
      <c r="B37" s="40" t="s">
        <v>257</v>
      </c>
      <c r="C37" s="41" t="n">
        <v>9331.85</v>
      </c>
      <c r="D37" s="41" t="n">
        <v>9793.15</v>
      </c>
      <c r="E37" s="41" t="n">
        <v>9083.65</v>
      </c>
      <c r="F37" s="41" t="n">
        <v>9464.6</v>
      </c>
      <c r="G37" s="42" t="n">
        <f aca="false">(F37/C37-1)</f>
        <v>0.0142254751201529</v>
      </c>
      <c r="H37" s="42" t="n">
        <f aca="false">(D37/E37-1)</f>
        <v>0.078107368733934</v>
      </c>
      <c r="I37" s="42" t="n">
        <f aca="false">(D37/C37-1)</f>
        <v>0.0494328562932322</v>
      </c>
      <c r="J37" s="42" t="n">
        <f aca="false">(E37/C37-1)</f>
        <v>-0.0265970841794501</v>
      </c>
      <c r="K37" s="40" t="n">
        <v>22</v>
      </c>
    </row>
    <row r="38" customFormat="false" ht="15" hidden="false" customHeight="true" outlineLevel="0" collapsed="false">
      <c r="A38" s="40" t="n">
        <v>2010</v>
      </c>
      <c r="B38" s="40" t="s">
        <v>258</v>
      </c>
      <c r="C38" s="41" t="n">
        <v>9403.95</v>
      </c>
      <c r="D38" s="41" t="n">
        <v>10243.9</v>
      </c>
      <c r="E38" s="41" t="n">
        <v>9303.05</v>
      </c>
      <c r="F38" s="41" t="n">
        <v>10161</v>
      </c>
      <c r="G38" s="42" t="n">
        <f aca="false">(F38/C38-1)</f>
        <v>0.0805034054838658</v>
      </c>
      <c r="H38" s="42" t="n">
        <f aca="false">(D38/E38-1)</f>
        <v>0.101133499228748</v>
      </c>
      <c r="I38" s="42" t="n">
        <f aca="false">(D38/C38-1)</f>
        <v>0.0893188500576885</v>
      </c>
      <c r="J38" s="42" t="n">
        <f aca="false">(E38/C38-1)</f>
        <v>-0.0107295338660883</v>
      </c>
      <c r="K38" s="40" t="n">
        <v>22</v>
      </c>
    </row>
    <row r="39" customFormat="false" ht="15" hidden="false" customHeight="true" outlineLevel="0" collapsed="false">
      <c r="A39" s="40" t="n">
        <v>2010</v>
      </c>
      <c r="B39" s="40" t="s">
        <v>259</v>
      </c>
      <c r="C39" s="41" t="n">
        <v>10258.35</v>
      </c>
      <c r="D39" s="41" t="n">
        <v>11126.95</v>
      </c>
      <c r="E39" s="41" t="n">
        <v>10255.4</v>
      </c>
      <c r="F39" s="41" t="n">
        <v>10746.35</v>
      </c>
      <c r="G39" s="42" t="n">
        <f aca="false">(F39/C39-1)</f>
        <v>0.0475710031340322</v>
      </c>
      <c r="H39" s="42" t="n">
        <f aca="false">(D39/E39-1)</f>
        <v>0.0849844959728534</v>
      </c>
      <c r="I39" s="42" t="n">
        <f aca="false">(D39/C39-1)</f>
        <v>0.0846724863160255</v>
      </c>
      <c r="J39" s="42" t="n">
        <f aca="false">(E39/C39-1)</f>
        <v>-0.000287570613207833</v>
      </c>
      <c r="K39" s="40" t="n">
        <v>22</v>
      </c>
    </row>
    <row r="40" customFormat="false" ht="15" hidden="false" customHeight="true" outlineLevel="0" collapsed="false">
      <c r="A40" s="40" t="n">
        <v>2010</v>
      </c>
      <c r="B40" s="40" t="s">
        <v>260</v>
      </c>
      <c r="C40" s="41" t="n">
        <v>10761.65</v>
      </c>
      <c r="D40" s="41" t="n">
        <v>12410.6</v>
      </c>
      <c r="E40" s="41" t="n">
        <v>10761.65</v>
      </c>
      <c r="F40" s="41" t="n">
        <v>12366.35</v>
      </c>
      <c r="G40" s="42" t="n">
        <f aca="false">(F40/C40-1)</f>
        <v>0.149112821918572</v>
      </c>
      <c r="H40" s="42" t="n">
        <f aca="false">(D40/E40-1)</f>
        <v>0.153224644919692</v>
      </c>
      <c r="I40" s="42" t="n">
        <f aca="false">(D40/C40-1)</f>
        <v>0.153224644919692</v>
      </c>
      <c r="J40" s="42" t="n">
        <f aca="false">(E40/C40-1)</f>
        <v>0</v>
      </c>
      <c r="K40" s="40" t="n">
        <v>21</v>
      </c>
    </row>
    <row r="41" customFormat="false" ht="15" hidden="false" customHeight="true" outlineLevel="0" collapsed="false">
      <c r="A41" s="40" t="n">
        <v>2010</v>
      </c>
      <c r="B41" s="40" t="s">
        <v>261</v>
      </c>
      <c r="C41" s="41" t="n">
        <v>12390.9</v>
      </c>
      <c r="D41" s="41" t="n">
        <v>12827.35</v>
      </c>
      <c r="E41" s="41" t="n">
        <v>11955.55</v>
      </c>
      <c r="F41" s="41" t="n">
        <v>12330.75</v>
      </c>
      <c r="G41" s="42" t="n">
        <f aca="false">(F41/C41-1)</f>
        <v>-0.00485436893203883</v>
      </c>
      <c r="H41" s="42" t="n">
        <f aca="false">(D41/E41-1)</f>
        <v>0.0729201082342512</v>
      </c>
      <c r="I41" s="42" t="n">
        <f aca="false">(D41/C41-1)</f>
        <v>0.0352234300978944</v>
      </c>
      <c r="J41" s="42" t="n">
        <f aca="false">(E41/C41-1)</f>
        <v>-0.0351346552712071</v>
      </c>
      <c r="K41" s="40" t="n">
        <v>21</v>
      </c>
    </row>
    <row r="42" customFormat="false" ht="15" hidden="false" customHeight="true" outlineLevel="0" collapsed="false">
      <c r="A42" s="40" t="n">
        <v>2010</v>
      </c>
      <c r="B42" s="40" t="s">
        <v>262</v>
      </c>
      <c r="C42" s="41" t="n">
        <v>12485.5</v>
      </c>
      <c r="D42" s="41" t="n">
        <v>13301.45</v>
      </c>
      <c r="E42" s="41" t="n">
        <v>11362.9</v>
      </c>
      <c r="F42" s="41" t="n">
        <v>11952.6</v>
      </c>
      <c r="G42" s="42" t="n">
        <f aca="false">(F42/C42-1)</f>
        <v>-0.0426815105522406</v>
      </c>
      <c r="H42" s="42" t="n">
        <f aca="false">(D42/E42-1)</f>
        <v>0.170603455103891</v>
      </c>
      <c r="I42" s="42" t="n">
        <f aca="false">(D42/C42-1)</f>
        <v>0.0653518080973929</v>
      </c>
      <c r="J42" s="42" t="n">
        <f aca="false">(E42/C42-1)</f>
        <v>-0.0899122982659886</v>
      </c>
      <c r="K42" s="40" t="n">
        <v>20</v>
      </c>
    </row>
    <row r="43" customFormat="false" ht="15" hidden="false" customHeight="true" outlineLevel="0" collapsed="false">
      <c r="A43" s="40" t="n">
        <v>2010</v>
      </c>
      <c r="B43" s="40" t="s">
        <v>263</v>
      </c>
      <c r="C43" s="41" t="n">
        <v>11987.7</v>
      </c>
      <c r="D43" s="41" t="n">
        <v>12535.85</v>
      </c>
      <c r="E43" s="41" t="n">
        <v>10977.9</v>
      </c>
      <c r="F43" s="41" t="n">
        <v>11791.45</v>
      </c>
      <c r="G43" s="42" t="n">
        <f aca="false">(F43/C43-1)</f>
        <v>-0.0163709468872261</v>
      </c>
      <c r="H43" s="42" t="n">
        <f aca="false">(D43/E43-1)</f>
        <v>0.141916942220279</v>
      </c>
      <c r="I43" s="42" t="n">
        <f aca="false">(D43/C43-1)</f>
        <v>0.0457260358534164</v>
      </c>
      <c r="J43" s="42" t="n">
        <f aca="false">(E43/C43-1)</f>
        <v>-0.0842363422508071</v>
      </c>
      <c r="K43" s="40" t="n">
        <v>22</v>
      </c>
    </row>
    <row r="44" customFormat="false" ht="15" hidden="false" customHeight="true" outlineLevel="0" collapsed="false">
      <c r="A44" s="37" t="n">
        <v>2011</v>
      </c>
      <c r="B44" s="37" t="s">
        <v>252</v>
      </c>
      <c r="C44" s="38" t="n">
        <v>11882.1</v>
      </c>
      <c r="D44" s="38" t="n">
        <v>11912.15</v>
      </c>
      <c r="E44" s="38" t="n">
        <v>10373.8</v>
      </c>
      <c r="F44" s="38" t="n">
        <v>10641.85</v>
      </c>
      <c r="G44" s="39" t="n">
        <f aca="false">(F44/C44-1)</f>
        <v>-0.104379697191574</v>
      </c>
      <c r="H44" s="39" t="n">
        <f aca="false">(D44/E44-1)</f>
        <v>0.148291850623687</v>
      </c>
      <c r="I44" s="39" t="n">
        <f aca="false">(D44/C44-1)</f>
        <v>0.0025290142314911</v>
      </c>
      <c r="J44" s="39" t="n">
        <f aca="false">(E44/C44-1)</f>
        <v>-0.126938840777304</v>
      </c>
      <c r="K44" s="37" t="n">
        <v>20</v>
      </c>
    </row>
    <row r="45" customFormat="false" ht="15" hidden="false" customHeight="true" outlineLevel="0" collapsed="false">
      <c r="A45" s="37" t="n">
        <v>2011</v>
      </c>
      <c r="B45" s="37" t="s">
        <v>253</v>
      </c>
      <c r="C45" s="38" t="n">
        <v>10683.45</v>
      </c>
      <c r="D45" s="38" t="n">
        <v>11300.45</v>
      </c>
      <c r="E45" s="38" t="n">
        <v>10017.85</v>
      </c>
      <c r="F45" s="38" t="n">
        <v>10435.35</v>
      </c>
      <c r="G45" s="39" t="n">
        <f aca="false">(F45/C45-1)</f>
        <v>-0.0232228353200511</v>
      </c>
      <c r="H45" s="39" t="n">
        <f aca="false">(D45/E45-1)</f>
        <v>0.128031463837051</v>
      </c>
      <c r="I45" s="39" t="n">
        <f aca="false">(D45/C45-1)</f>
        <v>0.0577528794537345</v>
      </c>
      <c r="J45" s="39" t="n">
        <f aca="false">(E45/C45-1)</f>
        <v>-0.0623019717413382</v>
      </c>
      <c r="K45" s="37" t="n">
        <v>20</v>
      </c>
    </row>
    <row r="46" customFormat="false" ht="15" hidden="false" customHeight="true" outlineLevel="0" collapsed="false">
      <c r="A46" s="37" t="n">
        <v>2011</v>
      </c>
      <c r="B46" s="37" t="s">
        <v>254</v>
      </c>
      <c r="C46" s="38" t="n">
        <v>10541.95</v>
      </c>
      <c r="D46" s="38" t="n">
        <v>11898.4</v>
      </c>
      <c r="E46" s="38" t="n">
        <v>10528.35</v>
      </c>
      <c r="F46" s="38" t="n">
        <v>11705.45</v>
      </c>
      <c r="G46" s="39" t="n">
        <f aca="false">(F46/C46-1)</f>
        <v>0.110368575073871</v>
      </c>
      <c r="H46" s="39" t="n">
        <f aca="false">(D46/E46-1)</f>
        <v>0.130129602454326</v>
      </c>
      <c r="I46" s="39" t="n">
        <f aca="false">(D46/C46-1)</f>
        <v>0.128671640446028</v>
      </c>
      <c r="J46" s="39" t="n">
        <f aca="false">(E46/C46-1)</f>
        <v>-0.00129008390288332</v>
      </c>
      <c r="K46" s="37" t="n">
        <v>22</v>
      </c>
    </row>
    <row r="47" customFormat="false" ht="15" hidden="false" customHeight="true" outlineLevel="0" collapsed="false">
      <c r="A47" s="37" t="n">
        <v>2011</v>
      </c>
      <c r="B47" s="37" t="s">
        <v>255</v>
      </c>
      <c r="C47" s="38" t="n">
        <v>11713.05</v>
      </c>
      <c r="D47" s="38" t="n">
        <v>11978.05</v>
      </c>
      <c r="E47" s="38" t="n">
        <v>11406.85</v>
      </c>
      <c r="F47" s="38" t="n">
        <v>11483.75</v>
      </c>
      <c r="G47" s="39" t="n">
        <f aca="false">(F47/C47-1)</f>
        <v>-0.0195764553212016</v>
      </c>
      <c r="H47" s="39" t="n">
        <f aca="false">(D47/E47-1)</f>
        <v>0.0500751741278267</v>
      </c>
      <c r="I47" s="39" t="n">
        <f aca="false">(D47/C47-1)</f>
        <v>0.0226243378112447</v>
      </c>
      <c r="J47" s="39" t="n">
        <f aca="false">(E47/C47-1)</f>
        <v>-0.0261417820294457</v>
      </c>
      <c r="K47" s="37" t="n">
        <v>18</v>
      </c>
    </row>
    <row r="48" customFormat="false" ht="15" hidden="false" customHeight="true" outlineLevel="0" collapsed="false">
      <c r="A48" s="37" t="n">
        <v>2011</v>
      </c>
      <c r="B48" s="37" t="s">
        <v>256</v>
      </c>
      <c r="C48" s="38" t="n">
        <v>11509.3</v>
      </c>
      <c r="D48" s="38" t="n">
        <v>11543.35</v>
      </c>
      <c r="E48" s="38" t="n">
        <v>10339.95</v>
      </c>
      <c r="F48" s="38" t="n">
        <v>11020.85</v>
      </c>
      <c r="G48" s="39" t="n">
        <f aca="false">(F48/C48-1)</f>
        <v>-0.0424395923296811</v>
      </c>
      <c r="H48" s="39" t="n">
        <f aca="false">(D48/E48-1)</f>
        <v>0.116383541506487</v>
      </c>
      <c r="I48" s="39" t="n">
        <f aca="false">(D48/C48-1)</f>
        <v>0.00295847705768382</v>
      </c>
      <c r="J48" s="39" t="n">
        <f aca="false">(E48/C48-1)</f>
        <v>-0.101600444857637</v>
      </c>
      <c r="K48" s="37" t="n">
        <v>22</v>
      </c>
    </row>
    <row r="49" customFormat="false" ht="15" hidden="false" customHeight="true" outlineLevel="0" collapsed="false">
      <c r="A49" s="37" t="n">
        <v>2011</v>
      </c>
      <c r="B49" s="37" t="s">
        <v>257</v>
      </c>
      <c r="C49" s="38" t="n">
        <v>11011.2</v>
      </c>
      <c r="D49" s="38" t="n">
        <v>11271.35</v>
      </c>
      <c r="E49" s="38" t="n">
        <v>10340.4</v>
      </c>
      <c r="F49" s="38" t="n">
        <v>11244.65</v>
      </c>
      <c r="G49" s="39" t="n">
        <f aca="false">(F49/C49-1)</f>
        <v>0.0212011406567858</v>
      </c>
      <c r="H49" s="39" t="n">
        <f aca="false">(D49/E49-1)</f>
        <v>0.0900303663301227</v>
      </c>
      <c r="I49" s="39" t="n">
        <f aca="false">(D49/C49-1)</f>
        <v>0.0236259444928799</v>
      </c>
      <c r="J49" s="39" t="n">
        <f aca="false">(E49/C49-1)</f>
        <v>-0.0609197907585005</v>
      </c>
      <c r="K49" s="37" t="n">
        <v>22</v>
      </c>
    </row>
    <row r="50" customFormat="false" ht="15" hidden="false" customHeight="true" outlineLevel="0" collapsed="false">
      <c r="A50" s="37" t="n">
        <v>2011</v>
      </c>
      <c r="B50" s="37" t="s">
        <v>258</v>
      </c>
      <c r="C50" s="38" t="n">
        <v>11359.95</v>
      </c>
      <c r="D50" s="38" t="n">
        <v>11451.25</v>
      </c>
      <c r="E50" s="38" t="n">
        <v>10758.4</v>
      </c>
      <c r="F50" s="38" t="n">
        <v>10893.65</v>
      </c>
      <c r="G50" s="39" t="n">
        <f aca="false">(F50/C50-1)</f>
        <v>-0.0410477158790312</v>
      </c>
      <c r="H50" s="39" t="n">
        <f aca="false">(D50/E50-1)</f>
        <v>0.0644008402736467</v>
      </c>
      <c r="I50" s="39" t="n">
        <f aca="false">(D50/C50-1)</f>
        <v>0.00803700720513723</v>
      </c>
      <c r="J50" s="39" t="n">
        <f aca="false">(E50/C50-1)</f>
        <v>-0.052953578140749</v>
      </c>
      <c r="K50" s="37" t="n">
        <v>21</v>
      </c>
    </row>
    <row r="51" customFormat="false" ht="15" hidden="false" customHeight="true" outlineLevel="0" collapsed="false">
      <c r="A51" s="37" t="n">
        <v>2011</v>
      </c>
      <c r="B51" s="37" t="s">
        <v>259</v>
      </c>
      <c r="C51" s="38" t="n">
        <v>11014.15</v>
      </c>
      <c r="D51" s="38" t="n">
        <v>11064.9</v>
      </c>
      <c r="E51" s="38" t="n">
        <v>8917.95</v>
      </c>
      <c r="F51" s="38" t="n">
        <v>9533.4</v>
      </c>
      <c r="G51" s="39" t="n">
        <f aca="false">(F51/C51-1)</f>
        <v>-0.134440696740103</v>
      </c>
      <c r="H51" s="39" t="n">
        <f aca="false">(D51/E51-1)</f>
        <v>0.240744790002186</v>
      </c>
      <c r="I51" s="39" t="n">
        <f aca="false">(D51/C51-1)</f>
        <v>0.00460770917410791</v>
      </c>
      <c r="J51" s="39" t="n">
        <f aca="false">(E51/C51-1)</f>
        <v>-0.190318817157929</v>
      </c>
      <c r="K51" s="37" t="n">
        <v>21</v>
      </c>
    </row>
    <row r="52" customFormat="false" ht="15" hidden="false" customHeight="true" outlineLevel="0" collapsed="false">
      <c r="A52" s="37" t="n">
        <v>2011</v>
      </c>
      <c r="B52" s="37" t="s">
        <v>260</v>
      </c>
      <c r="C52" s="38" t="n">
        <v>9707.45</v>
      </c>
      <c r="D52" s="38" t="n">
        <v>9972</v>
      </c>
      <c r="E52" s="38" t="n">
        <v>9165.8</v>
      </c>
      <c r="F52" s="38" t="n">
        <v>9468.3</v>
      </c>
      <c r="G52" s="39" t="n">
        <f aca="false">(F52/C52-1)</f>
        <v>-0.0246357179279832</v>
      </c>
      <c r="H52" s="39" t="n">
        <f aca="false">(D52/E52-1)</f>
        <v>0.0879574068821054</v>
      </c>
      <c r="I52" s="39" t="n">
        <f aca="false">(D52/C52-1)</f>
        <v>0.0272522650129539</v>
      </c>
      <c r="J52" s="39" t="n">
        <f aca="false">(E52/C52-1)</f>
        <v>-0.0557973515186792</v>
      </c>
      <c r="K52" s="37" t="n">
        <v>21</v>
      </c>
    </row>
    <row r="53" customFormat="false" ht="15" hidden="false" customHeight="true" outlineLevel="0" collapsed="false">
      <c r="A53" s="37" t="n">
        <v>2011</v>
      </c>
      <c r="B53" s="37" t="s">
        <v>261</v>
      </c>
      <c r="C53" s="38" t="n">
        <v>9332.6</v>
      </c>
      <c r="D53" s="38" t="n">
        <v>10080.05</v>
      </c>
      <c r="E53" s="38" t="n">
        <v>8626.45</v>
      </c>
      <c r="F53" s="38" t="n">
        <v>9989.65</v>
      </c>
      <c r="G53" s="39" t="n">
        <f aca="false">(F53/C53-1)</f>
        <v>0.0704037460086149</v>
      </c>
      <c r="H53" s="39" t="n">
        <f aca="false">(D53/E53-1)</f>
        <v>0.168505004955688</v>
      </c>
      <c r="I53" s="39" t="n">
        <f aca="false">(D53/C53-1)</f>
        <v>0.0800902213745365</v>
      </c>
      <c r="J53" s="39" t="n">
        <f aca="false">(E53/C53-1)</f>
        <v>-0.0756648736686454</v>
      </c>
      <c r="K53" s="37" t="n">
        <v>18</v>
      </c>
    </row>
    <row r="54" customFormat="false" ht="15" hidden="false" customHeight="true" outlineLevel="0" collapsed="false">
      <c r="A54" s="37" t="n">
        <v>2011</v>
      </c>
      <c r="B54" s="37" t="s">
        <v>262</v>
      </c>
      <c r="C54" s="38" t="n">
        <v>9898.4</v>
      </c>
      <c r="D54" s="38" t="n">
        <v>9984.35</v>
      </c>
      <c r="E54" s="38" t="n">
        <v>8240.45</v>
      </c>
      <c r="F54" s="38" t="n">
        <v>8564.1</v>
      </c>
      <c r="G54" s="39" t="n">
        <f aca="false">(F54/C54-1)</f>
        <v>-0.134799563565829</v>
      </c>
      <c r="H54" s="39" t="n">
        <f aca="false">(D54/E54-1)</f>
        <v>0.211626792226153</v>
      </c>
      <c r="I54" s="39" t="n">
        <f aca="false">(D54/C54-1)</f>
        <v>0.00868322153075263</v>
      </c>
      <c r="J54" s="39" t="n">
        <f aca="false">(E54/C54-1)</f>
        <v>-0.167496767154287</v>
      </c>
      <c r="K54" s="37" t="n">
        <v>20</v>
      </c>
    </row>
    <row r="55" customFormat="false" ht="15" hidden="false" customHeight="true" outlineLevel="0" collapsed="false">
      <c r="A55" s="37" t="n">
        <v>2011</v>
      </c>
      <c r="B55" s="37" t="s">
        <v>263</v>
      </c>
      <c r="C55" s="38" t="n">
        <v>8872.8</v>
      </c>
      <c r="D55" s="38" t="n">
        <v>9273.1</v>
      </c>
      <c r="E55" s="38" t="n">
        <v>7766.35</v>
      </c>
      <c r="F55" s="38" t="n">
        <v>7968.65</v>
      </c>
      <c r="G55" s="39" t="n">
        <f aca="false">(F55/C55-1)</f>
        <v>-0.101901316382653</v>
      </c>
      <c r="H55" s="39" t="n">
        <f aca="false">(D55/E55-1)</f>
        <v>0.194010056204008</v>
      </c>
      <c r="I55" s="39" t="n">
        <f aca="false">(D55/C55-1)</f>
        <v>0.0451154088900911</v>
      </c>
      <c r="J55" s="39" t="n">
        <f aca="false">(E55/C55-1)</f>
        <v>-0.124701334415292</v>
      </c>
      <c r="K55" s="37" t="n">
        <v>21</v>
      </c>
    </row>
    <row r="56" customFormat="false" ht="15" hidden="false" customHeight="true" outlineLevel="0" collapsed="false">
      <c r="A56" s="40" t="n">
        <v>2012</v>
      </c>
      <c r="B56" s="40" t="s">
        <v>252</v>
      </c>
      <c r="C56" s="41" t="n">
        <v>8009.85</v>
      </c>
      <c r="D56" s="41" t="n">
        <v>9969.25</v>
      </c>
      <c r="E56" s="41" t="n">
        <v>7888.25</v>
      </c>
      <c r="F56" s="41" t="n">
        <v>9919.45</v>
      </c>
      <c r="G56" s="42" t="n">
        <f aca="false">(F56/C56-1)</f>
        <v>0.238406462043609</v>
      </c>
      <c r="H56" s="42" t="n">
        <f aca="false">(D56/E56-1)</f>
        <v>0.263810097296612</v>
      </c>
      <c r="I56" s="42" t="n">
        <f aca="false">(D56/C56-1)</f>
        <v>0.244623806937708</v>
      </c>
      <c r="J56" s="42" t="n">
        <f aca="false">(E56/C56-1)</f>
        <v>-0.0151813080145072</v>
      </c>
      <c r="K56" s="40" t="n">
        <v>21</v>
      </c>
    </row>
    <row r="57" customFormat="false" ht="15" hidden="false" customHeight="true" outlineLevel="0" collapsed="false">
      <c r="A57" s="40" t="n">
        <v>2012</v>
      </c>
      <c r="B57" s="40" t="s">
        <v>253</v>
      </c>
      <c r="C57" s="41" t="n">
        <v>9941.9</v>
      </c>
      <c r="D57" s="41" t="n">
        <v>11226.75</v>
      </c>
      <c r="E57" s="41" t="n">
        <v>9762</v>
      </c>
      <c r="F57" s="41" t="n">
        <v>10414.2</v>
      </c>
      <c r="G57" s="42" t="n">
        <f aca="false">(F57/C57-1)</f>
        <v>0.0475060099176214</v>
      </c>
      <c r="H57" s="42" t="n">
        <f aca="false">(D57/E57-1)</f>
        <v>0.150046097111248</v>
      </c>
      <c r="I57" s="42" t="n">
        <f aca="false">(D57/C57-1)</f>
        <v>0.129235860348626</v>
      </c>
      <c r="J57" s="42" t="n">
        <f aca="false">(E57/C57-1)</f>
        <v>-0.0180951327211096</v>
      </c>
      <c r="K57" s="40" t="n">
        <v>20</v>
      </c>
    </row>
    <row r="58" customFormat="false" ht="15" hidden="false" customHeight="true" outlineLevel="0" collapsed="false">
      <c r="A58" s="40" t="n">
        <v>2012</v>
      </c>
      <c r="B58" s="40" t="s">
        <v>254</v>
      </c>
      <c r="C58" s="41" t="n">
        <v>10385.15</v>
      </c>
      <c r="D58" s="41" t="n">
        <v>10912.05</v>
      </c>
      <c r="E58" s="41" t="n">
        <v>9845.4</v>
      </c>
      <c r="F58" s="41" t="n">
        <v>10212.75</v>
      </c>
      <c r="G58" s="42" t="n">
        <f aca="false">(F58/C58-1)</f>
        <v>-0.0166006268566173</v>
      </c>
      <c r="H58" s="42" t="n">
        <f aca="false">(D58/E58-1)</f>
        <v>0.108339935401304</v>
      </c>
      <c r="I58" s="42" t="n">
        <f aca="false">(D58/C58-1)</f>
        <v>0.0507359065588846</v>
      </c>
      <c r="J58" s="42" t="n">
        <f aca="false">(E58/C58-1)</f>
        <v>-0.0519732502660049</v>
      </c>
      <c r="K58" s="40" t="n">
        <v>21</v>
      </c>
    </row>
    <row r="59" customFormat="false" ht="15" hidden="false" customHeight="true" outlineLevel="0" collapsed="false">
      <c r="A59" s="40" t="n">
        <v>2012</v>
      </c>
      <c r="B59" s="40" t="s">
        <v>255</v>
      </c>
      <c r="C59" s="41" t="n">
        <v>10186.8</v>
      </c>
      <c r="D59" s="41" t="n">
        <v>10645.85</v>
      </c>
      <c r="E59" s="41" t="n">
        <v>10029.45</v>
      </c>
      <c r="F59" s="41" t="n">
        <v>10276.8</v>
      </c>
      <c r="G59" s="42" t="n">
        <f aca="false">(F59/C59-1)</f>
        <v>0.00883496289315588</v>
      </c>
      <c r="H59" s="42" t="n">
        <f aca="false">(D59/E59-1)</f>
        <v>0.0614590032354716</v>
      </c>
      <c r="I59" s="42" t="n">
        <f aca="false">(D59/C59-1)</f>
        <v>0.0450632190678133</v>
      </c>
      <c r="J59" s="42" t="n">
        <f aca="false">(E59/C59-1)</f>
        <v>-0.0154464601248673</v>
      </c>
      <c r="K59" s="40" t="n">
        <v>19</v>
      </c>
    </row>
    <row r="60" customFormat="false" ht="15" hidden="false" customHeight="true" outlineLevel="0" collapsed="false">
      <c r="A60" s="40" t="n">
        <v>2012</v>
      </c>
      <c r="B60" s="40" t="s">
        <v>256</v>
      </c>
      <c r="C60" s="41" t="n">
        <v>10282.7</v>
      </c>
      <c r="D60" s="41" t="n">
        <v>10382.35</v>
      </c>
      <c r="E60" s="41" t="n">
        <v>8995.25</v>
      </c>
      <c r="F60" s="41" t="n">
        <v>9441</v>
      </c>
      <c r="G60" s="42" t="n">
        <f aca="false">(F60/C60-1)</f>
        <v>-0.081855932780301</v>
      </c>
      <c r="H60" s="42" t="n">
        <f aca="false">(D60/E60-1)</f>
        <v>0.154203607459493</v>
      </c>
      <c r="I60" s="42" t="n">
        <f aca="false">(D60/C60-1)</f>
        <v>0.00969103445593089</v>
      </c>
      <c r="J60" s="42" t="n">
        <f aca="false">(E60/C60-1)</f>
        <v>-0.125205442150408</v>
      </c>
      <c r="K60" s="40" t="n">
        <v>22</v>
      </c>
    </row>
    <row r="61" customFormat="false" ht="15" hidden="false" customHeight="true" outlineLevel="0" collapsed="false">
      <c r="A61" s="40" t="n">
        <v>2012</v>
      </c>
      <c r="B61" s="40" t="s">
        <v>257</v>
      </c>
      <c r="C61" s="41" t="n">
        <v>9434.45</v>
      </c>
      <c r="D61" s="41" t="n">
        <v>10360</v>
      </c>
      <c r="E61" s="41" t="n">
        <v>9110.45</v>
      </c>
      <c r="F61" s="41" t="n">
        <v>10340.65</v>
      </c>
      <c r="G61" s="42" t="n">
        <f aca="false">(F61/C61-1)</f>
        <v>0.0960522340994969</v>
      </c>
      <c r="H61" s="42" t="n">
        <f aca="false">(D61/E61-1)</f>
        <v>0.137155683857548</v>
      </c>
      <c r="I61" s="42" t="n">
        <f aca="false">(D61/C61-1)</f>
        <v>0.0981032280631091</v>
      </c>
      <c r="J61" s="42" t="n">
        <f aca="false">(E61/C61-1)</f>
        <v>-0.034342224506993</v>
      </c>
      <c r="K61" s="40" t="n">
        <v>21</v>
      </c>
    </row>
    <row r="62" customFormat="false" ht="15" hidden="false" customHeight="true" outlineLevel="0" collapsed="false">
      <c r="A62" s="40" t="n">
        <v>2012</v>
      </c>
      <c r="B62" s="40" t="s">
        <v>258</v>
      </c>
      <c r="C62" s="41" t="n">
        <v>10366.5</v>
      </c>
      <c r="D62" s="41" t="n">
        <v>10782.55</v>
      </c>
      <c r="E62" s="41" t="n">
        <v>10056.15</v>
      </c>
      <c r="F62" s="41" t="n">
        <v>10384.1</v>
      </c>
      <c r="G62" s="42" t="n">
        <f aca="false">(F62/C62-1)</f>
        <v>0.00169777649158354</v>
      </c>
      <c r="H62" s="42" t="n">
        <f aca="false">(D62/E62-1)</f>
        <v>0.0722344038225364</v>
      </c>
      <c r="I62" s="42" t="n">
        <f aca="false">(D62/C62-1)</f>
        <v>0.0401340857570056</v>
      </c>
      <c r="J62" s="42" t="n">
        <f aca="false">(E62/C62-1)</f>
        <v>-0.0299377803501665</v>
      </c>
      <c r="K62" s="40" t="n">
        <v>22</v>
      </c>
    </row>
    <row r="63" customFormat="false" ht="15" hidden="false" customHeight="true" outlineLevel="0" collapsed="false">
      <c r="A63" s="40" t="n">
        <v>2012</v>
      </c>
      <c r="B63" s="40" t="s">
        <v>259</v>
      </c>
      <c r="C63" s="41" t="n">
        <v>10347.8</v>
      </c>
      <c r="D63" s="41" t="n">
        <v>10640.75</v>
      </c>
      <c r="E63" s="41" t="n">
        <v>9948.7</v>
      </c>
      <c r="F63" s="41" t="n">
        <v>9990.5</v>
      </c>
      <c r="G63" s="42" t="n">
        <f aca="false">(F63/C63-1)</f>
        <v>-0.034529078644736</v>
      </c>
      <c r="H63" s="42" t="n">
        <f aca="false">(D63/E63-1)</f>
        <v>0.0695618523023107</v>
      </c>
      <c r="I63" s="42" t="n">
        <f aca="false">(D63/C63-1)</f>
        <v>0.0283103654883163</v>
      </c>
      <c r="J63" s="42" t="n">
        <f aca="false">(E63/C63-1)</f>
        <v>-0.0385685846266838</v>
      </c>
      <c r="K63" s="40" t="n">
        <v>21</v>
      </c>
    </row>
    <row r="64" customFormat="false" ht="15" hidden="false" customHeight="true" outlineLevel="0" collapsed="false">
      <c r="A64" s="40" t="n">
        <v>2012</v>
      </c>
      <c r="B64" s="40" t="s">
        <v>260</v>
      </c>
      <c r="C64" s="41" t="n">
        <v>10030.85</v>
      </c>
      <c r="D64" s="41" t="n">
        <v>11536.85</v>
      </c>
      <c r="E64" s="41" t="n">
        <v>9814.05</v>
      </c>
      <c r="F64" s="41" t="n">
        <v>11456.8</v>
      </c>
      <c r="G64" s="42" t="n">
        <f aca="false">(F64/C64-1)</f>
        <v>0.142156447359895</v>
      </c>
      <c r="H64" s="42" t="n">
        <f aca="false">(D64/E64-1)</f>
        <v>0.175544245240242</v>
      </c>
      <c r="I64" s="42" t="n">
        <f aca="false">(D64/C64-1)</f>
        <v>0.150136827885972</v>
      </c>
      <c r="J64" s="42" t="n">
        <f aca="false">(E64/C64-1)</f>
        <v>-0.0216133228988571</v>
      </c>
      <c r="K64" s="40" t="n">
        <v>19</v>
      </c>
    </row>
    <row r="65" customFormat="false" ht="15" hidden="false" customHeight="true" outlineLevel="0" collapsed="false">
      <c r="A65" s="40" t="n">
        <v>2012</v>
      </c>
      <c r="B65" s="40" t="s">
        <v>261</v>
      </c>
      <c r="C65" s="41" t="n">
        <v>11462.1</v>
      </c>
      <c r="D65" s="41" t="n">
        <v>11745.2</v>
      </c>
      <c r="E65" s="41" t="n">
        <v>10043.6</v>
      </c>
      <c r="F65" s="41" t="n">
        <v>11268.8</v>
      </c>
      <c r="G65" s="42" t="n">
        <f aca="false">(F65/C65-1)</f>
        <v>-0.0168642744348768</v>
      </c>
      <c r="H65" s="42" t="n">
        <f aca="false">(D65/E65-1)</f>
        <v>0.169421323031582</v>
      </c>
      <c r="I65" s="42" t="n">
        <f aca="false">(D65/C65-1)</f>
        <v>0.0246987899250575</v>
      </c>
      <c r="J65" s="42" t="n">
        <f aca="false">(E65/C65-1)</f>
        <v>-0.123755681768611</v>
      </c>
      <c r="K65" s="40" t="n">
        <v>20</v>
      </c>
    </row>
    <row r="66" customFormat="false" ht="15" hidden="false" customHeight="true" outlineLevel="0" collapsed="false">
      <c r="A66" s="40" t="n">
        <v>2012</v>
      </c>
      <c r="B66" s="40" t="s">
        <v>262</v>
      </c>
      <c r="C66" s="41" t="n">
        <v>11266.5</v>
      </c>
      <c r="D66" s="41" t="n">
        <v>12175.3</v>
      </c>
      <c r="E66" s="41" t="n">
        <v>11230.2</v>
      </c>
      <c r="F66" s="41" t="n">
        <v>12158.9</v>
      </c>
      <c r="G66" s="42" t="n">
        <f aca="false">(F66/C66-1)</f>
        <v>0.0792082723117205</v>
      </c>
      <c r="H66" s="42" t="n">
        <f aca="false">(D66/E66-1)</f>
        <v>0.0841570052180725</v>
      </c>
      <c r="I66" s="42" t="n">
        <f aca="false">(D66/C66-1)</f>
        <v>0.0806639151466737</v>
      </c>
      <c r="J66" s="42" t="n">
        <f aca="false">(E66/C66-1)</f>
        <v>-0.00322194115297558</v>
      </c>
      <c r="K66" s="40" t="n">
        <v>19</v>
      </c>
    </row>
    <row r="67" customFormat="false" ht="15" hidden="false" customHeight="true" outlineLevel="0" collapsed="false">
      <c r="A67" s="40" t="n">
        <v>2012</v>
      </c>
      <c r="B67" s="40" t="s">
        <v>263</v>
      </c>
      <c r="C67" s="41" t="n">
        <v>12126.6</v>
      </c>
      <c r="D67" s="41" t="n">
        <v>12571.6</v>
      </c>
      <c r="E67" s="41" t="n">
        <v>12053.45</v>
      </c>
      <c r="F67" s="41" t="n">
        <v>12474.25</v>
      </c>
      <c r="G67" s="42" t="n">
        <f aca="false">(F67/C67-1)</f>
        <v>0.0286683819042435</v>
      </c>
      <c r="H67" s="42" t="n">
        <f aca="false">(D67/E67-1)</f>
        <v>0.042987692320456</v>
      </c>
      <c r="I67" s="42" t="n">
        <f aca="false">(D67/C67-1)</f>
        <v>0.0366961885441921</v>
      </c>
      <c r="J67" s="42" t="n">
        <f aca="false">(E67/C67-1)</f>
        <v>-0.00603219368990482</v>
      </c>
      <c r="K67" s="40" t="n">
        <v>20</v>
      </c>
    </row>
    <row r="68" customFormat="false" ht="15" hidden="false" customHeight="true" outlineLevel="0" collapsed="false">
      <c r="A68" s="37" t="n">
        <v>2013</v>
      </c>
      <c r="B68" s="37" t="s">
        <v>252</v>
      </c>
      <c r="C68" s="38" t="n">
        <v>12549.95</v>
      </c>
      <c r="D68" s="38" t="n">
        <v>12960.65</v>
      </c>
      <c r="E68" s="38" t="n">
        <v>12509.45</v>
      </c>
      <c r="F68" s="38" t="n">
        <v>12708.6</v>
      </c>
      <c r="G68" s="39" t="n">
        <f aca="false">(F68/C68-1)</f>
        <v>0.0126414846274288</v>
      </c>
      <c r="H68" s="39" t="n">
        <f aca="false">(D68/E68-1)</f>
        <v>0.0360687320385789</v>
      </c>
      <c r="I68" s="39" t="n">
        <f aca="false">(D68/C68-1)</f>
        <v>0.0327252299809959</v>
      </c>
      <c r="J68" s="39" t="n">
        <f aca="false">(E68/C68-1)</f>
        <v>-0.00322710449045616</v>
      </c>
      <c r="K68" s="37" t="n">
        <v>23</v>
      </c>
    </row>
    <row r="69" customFormat="false" ht="15" hidden="false" customHeight="true" outlineLevel="0" collapsed="false">
      <c r="A69" s="37" t="n">
        <v>2013</v>
      </c>
      <c r="B69" s="37" t="s">
        <v>253</v>
      </c>
      <c r="C69" s="38" t="n">
        <v>12718.55</v>
      </c>
      <c r="D69" s="38" t="n">
        <v>12743.2</v>
      </c>
      <c r="E69" s="38" t="n">
        <v>11401.2</v>
      </c>
      <c r="F69" s="38" t="n">
        <v>11487.35</v>
      </c>
      <c r="G69" s="39" t="n">
        <f aca="false">(F69/C69-1)</f>
        <v>-0.096803487818973</v>
      </c>
      <c r="H69" s="39" t="n">
        <f aca="false">(D69/E69-1)</f>
        <v>0.117706908044767</v>
      </c>
      <c r="I69" s="39" t="n">
        <f aca="false">(D69/C69-1)</f>
        <v>0.00193811401456934</v>
      </c>
      <c r="J69" s="39" t="n">
        <f aca="false">(E69/C69-1)</f>
        <v>-0.103577058705591</v>
      </c>
      <c r="K69" s="37" t="n">
        <v>20</v>
      </c>
    </row>
    <row r="70" customFormat="false" ht="15" hidden="false" customHeight="true" outlineLevel="0" collapsed="false">
      <c r="A70" s="37" t="n">
        <v>2013</v>
      </c>
      <c r="B70" s="37" t="s">
        <v>254</v>
      </c>
      <c r="C70" s="38" t="n">
        <v>11533.05</v>
      </c>
      <c r="D70" s="38" t="n">
        <v>12241.3</v>
      </c>
      <c r="E70" s="38" t="n">
        <v>11048.4</v>
      </c>
      <c r="F70" s="38" t="n">
        <v>11361.85</v>
      </c>
      <c r="G70" s="39" t="n">
        <f aca="false">(F70/C70-1)</f>
        <v>-0.0148442953078326</v>
      </c>
      <c r="H70" s="39" t="n">
        <f aca="false">(D70/E70-1)</f>
        <v>0.107970384852105</v>
      </c>
      <c r="I70" s="39" t="n">
        <f aca="false">(D70/C70-1)</f>
        <v>0.0614104681762413</v>
      </c>
      <c r="J70" s="39" t="n">
        <f aca="false">(E70/C70-1)</f>
        <v>-0.042022708650357</v>
      </c>
      <c r="K70" s="37" t="n">
        <v>19</v>
      </c>
    </row>
    <row r="71" customFormat="false" ht="15" hidden="false" customHeight="true" outlineLevel="0" collapsed="false">
      <c r="A71" s="37" t="n">
        <v>2013</v>
      </c>
      <c r="B71" s="37" t="s">
        <v>255</v>
      </c>
      <c r="C71" s="38" t="n">
        <v>11414.95</v>
      </c>
      <c r="D71" s="38" t="n">
        <v>12755.8</v>
      </c>
      <c r="E71" s="38" t="n">
        <v>10888.75</v>
      </c>
      <c r="F71" s="38" t="n">
        <v>12561.55</v>
      </c>
      <c r="G71" s="39" t="n">
        <f aca="false">(F71/C71-1)</f>
        <v>0.10044722053097</v>
      </c>
      <c r="H71" s="39" t="n">
        <f aca="false">(D71/E71-1)</f>
        <v>0.171465962576053</v>
      </c>
      <c r="I71" s="39" t="n">
        <f aca="false">(D71/C71-1)</f>
        <v>0.117464377855356</v>
      </c>
      <c r="J71" s="39" t="n">
        <f aca="false">(E71/C71-1)</f>
        <v>-0.0460974423891476</v>
      </c>
      <c r="K71" s="37" t="n">
        <v>20</v>
      </c>
    </row>
    <row r="72" customFormat="false" ht="15" hidden="false" customHeight="true" outlineLevel="0" collapsed="false">
      <c r="A72" s="37" t="n">
        <v>2013</v>
      </c>
      <c r="B72" s="37" t="s">
        <v>256</v>
      </c>
      <c r="C72" s="38" t="n">
        <v>12554.7</v>
      </c>
      <c r="D72" s="38" t="n">
        <v>13414.3</v>
      </c>
      <c r="E72" s="38" t="n">
        <v>12188.3</v>
      </c>
      <c r="F72" s="38" t="n">
        <v>12475.65</v>
      </c>
      <c r="G72" s="39" t="n">
        <f aca="false">(F72/C72-1)</f>
        <v>-0.0062964467490263</v>
      </c>
      <c r="H72" s="39" t="n">
        <f aca="false">(D72/E72-1)</f>
        <v>0.100588269077722</v>
      </c>
      <c r="I72" s="39" t="n">
        <f aca="false">(D72/C72-1)</f>
        <v>0.0684683823587977</v>
      </c>
      <c r="J72" s="39" t="n">
        <f aca="false">(E72/C72-1)</f>
        <v>-0.0291842895489339</v>
      </c>
      <c r="K72" s="37" t="n">
        <v>22</v>
      </c>
    </row>
    <row r="73" customFormat="false" ht="15" hidden="false" customHeight="true" outlineLevel="0" collapsed="false">
      <c r="A73" s="37" t="n">
        <v>2013</v>
      </c>
      <c r="B73" s="37" t="s">
        <v>257</v>
      </c>
      <c r="C73" s="38" t="n">
        <v>12453.4</v>
      </c>
      <c r="D73" s="38" t="n">
        <v>12520.55</v>
      </c>
      <c r="E73" s="38" t="n">
        <v>11033.75</v>
      </c>
      <c r="F73" s="38" t="n">
        <v>11617.25</v>
      </c>
      <c r="G73" s="39" t="n">
        <f aca="false">(F73/C73-1)</f>
        <v>-0.0671423065187017</v>
      </c>
      <c r="H73" s="39" t="n">
        <f aca="false">(D73/E73-1)</f>
        <v>0.134750198255353</v>
      </c>
      <c r="I73" s="39" t="n">
        <f aca="false">(D73/C73-1)</f>
        <v>0.00539210175534399</v>
      </c>
      <c r="J73" s="39" t="n">
        <f aca="false">(E73/C73-1)</f>
        <v>-0.113996980744214</v>
      </c>
      <c r="K73" s="37" t="n">
        <v>20</v>
      </c>
    </row>
    <row r="74" customFormat="false" ht="15" hidden="false" customHeight="true" outlineLevel="0" collapsed="false">
      <c r="A74" s="37" t="n">
        <v>2013</v>
      </c>
      <c r="B74" s="37" t="s">
        <v>258</v>
      </c>
      <c r="C74" s="38" t="n">
        <v>11597.45</v>
      </c>
      <c r="D74" s="38" t="n">
        <v>11811.9</v>
      </c>
      <c r="E74" s="38" t="n">
        <v>9863.05</v>
      </c>
      <c r="F74" s="38" t="n">
        <v>10015.75</v>
      </c>
      <c r="G74" s="39" t="n">
        <f aca="false">(F74/C74-1)</f>
        <v>-0.136383429115883</v>
      </c>
      <c r="H74" s="39" t="n">
        <f aca="false">(D74/E74-1)</f>
        <v>0.197591008866426</v>
      </c>
      <c r="I74" s="39" t="n">
        <f aca="false">(D74/C74-1)</f>
        <v>0.0184911338268325</v>
      </c>
      <c r="J74" s="39" t="n">
        <f aca="false">(E74/C74-1)</f>
        <v>-0.149550116620464</v>
      </c>
      <c r="K74" s="37" t="n">
        <v>23</v>
      </c>
    </row>
    <row r="75" customFormat="false" ht="15" hidden="false" customHeight="true" outlineLevel="0" collapsed="false">
      <c r="A75" s="37" t="n">
        <v>2013</v>
      </c>
      <c r="B75" s="37" t="s">
        <v>259</v>
      </c>
      <c r="C75" s="38" t="n">
        <v>10130.1</v>
      </c>
      <c r="D75" s="38" t="n">
        <v>10219.6</v>
      </c>
      <c r="E75" s="38" t="n">
        <v>8366.75</v>
      </c>
      <c r="F75" s="38" t="n">
        <v>9049.2</v>
      </c>
      <c r="G75" s="39" t="n">
        <f aca="false">(F75/C75-1)</f>
        <v>-0.106701809458939</v>
      </c>
      <c r="H75" s="39" t="n">
        <f aca="false">(D75/E75-1)</f>
        <v>0.221453969581976</v>
      </c>
      <c r="I75" s="39" t="n">
        <f aca="false">(D75/C75-1)</f>
        <v>0.00883505592244904</v>
      </c>
      <c r="J75" s="39" t="n">
        <f aca="false">(E75/C75-1)</f>
        <v>-0.17407034481397</v>
      </c>
      <c r="K75" s="37" t="n">
        <v>20</v>
      </c>
    </row>
    <row r="76" customFormat="false" ht="15" hidden="false" customHeight="true" outlineLevel="0" collapsed="false">
      <c r="A76" s="37" t="n">
        <v>2013</v>
      </c>
      <c r="B76" s="37" t="s">
        <v>260</v>
      </c>
      <c r="C76" s="38" t="n">
        <v>9112.8</v>
      </c>
      <c r="D76" s="38" t="n">
        <v>11219.45</v>
      </c>
      <c r="E76" s="38" t="n">
        <v>8605.65</v>
      </c>
      <c r="F76" s="38" t="n">
        <v>9617.8</v>
      </c>
      <c r="G76" s="39" t="n">
        <f aca="false">(F76/C76-1)</f>
        <v>0.0554165569309104</v>
      </c>
      <c r="H76" s="39" t="n">
        <f aca="false">(D76/E76-1)</f>
        <v>0.303730688559261</v>
      </c>
      <c r="I76" s="39" t="n">
        <f aca="false">(D76/C76-1)</f>
        <v>0.231174831006935</v>
      </c>
      <c r="J76" s="39" t="n">
        <f aca="false">(E76/C76-1)</f>
        <v>-0.0556524888069528</v>
      </c>
      <c r="K76" s="37" t="n">
        <v>20</v>
      </c>
    </row>
    <row r="77" customFormat="false" ht="15" hidden="false" customHeight="true" outlineLevel="0" collapsed="false">
      <c r="A77" s="37" t="n">
        <v>2013</v>
      </c>
      <c r="B77" s="37" t="s">
        <v>261</v>
      </c>
      <c r="C77" s="38" t="n">
        <v>9685.15</v>
      </c>
      <c r="D77" s="38" t="n">
        <v>11512.5</v>
      </c>
      <c r="E77" s="38" t="n">
        <v>9582.75</v>
      </c>
      <c r="F77" s="38" t="n">
        <v>11473.15</v>
      </c>
      <c r="G77" s="39" t="n">
        <f aca="false">(F77/C77-1)</f>
        <v>0.184612525360991</v>
      </c>
      <c r="H77" s="39" t="n">
        <f aca="false">(D77/E77-1)</f>
        <v>0.201377475150661</v>
      </c>
      <c r="I77" s="39" t="n">
        <f aca="false">(D77/C77-1)</f>
        <v>0.188675446430876</v>
      </c>
      <c r="J77" s="39" t="n">
        <f aca="false">(E77/C77-1)</f>
        <v>-0.0105728873584817</v>
      </c>
      <c r="K77" s="37" t="n">
        <v>21</v>
      </c>
    </row>
    <row r="78" customFormat="false" ht="15" hidden="false" customHeight="true" outlineLevel="0" collapsed="false">
      <c r="A78" s="37" t="n">
        <v>2013</v>
      </c>
      <c r="B78" s="37" t="s">
        <v>262</v>
      </c>
      <c r="C78" s="38" t="n">
        <v>11472.2</v>
      </c>
      <c r="D78" s="38" t="n">
        <v>11736.2</v>
      </c>
      <c r="E78" s="38" t="n">
        <v>10412.05</v>
      </c>
      <c r="F78" s="38" t="n">
        <v>11153.95</v>
      </c>
      <c r="G78" s="39" t="n">
        <f aca="false">(F78/C78-1)</f>
        <v>-0.0277409738323948</v>
      </c>
      <c r="H78" s="39" t="n">
        <f aca="false">(D78/E78-1)</f>
        <v>0.127174763855341</v>
      </c>
      <c r="I78" s="39" t="n">
        <f aca="false">(D78/C78-1)</f>
        <v>0.0230121511131256</v>
      </c>
      <c r="J78" s="39" t="n">
        <f aca="false">(E78/C78-1)</f>
        <v>-0.0924103484946219</v>
      </c>
      <c r="K78" s="37" t="n">
        <v>19</v>
      </c>
    </row>
    <row r="79" customFormat="false" ht="15" hidden="false" customHeight="true" outlineLevel="0" collapsed="false">
      <c r="A79" s="37" t="n">
        <v>2013</v>
      </c>
      <c r="B79" s="37" t="s">
        <v>263</v>
      </c>
      <c r="C79" s="38" t="n">
        <v>11180.3</v>
      </c>
      <c r="D79" s="38" t="n">
        <v>12225.95</v>
      </c>
      <c r="E79" s="38" t="n">
        <v>11040.15</v>
      </c>
      <c r="F79" s="38" t="n">
        <v>11385.25</v>
      </c>
      <c r="G79" s="39" t="n">
        <f aca="false">(F79/C79-1)</f>
        <v>0.0183313506793199</v>
      </c>
      <c r="H79" s="39" t="n">
        <f aca="false">(D79/E79-1)</f>
        <v>0.10740796094256</v>
      </c>
      <c r="I79" s="39" t="n">
        <f aca="false">(D79/C79-1)</f>
        <v>0.0935261128950029</v>
      </c>
      <c r="J79" s="39" t="n">
        <f aca="false">(E79/C79-1)</f>
        <v>-0.0125354418038872</v>
      </c>
      <c r="K79" s="37" t="n">
        <v>21</v>
      </c>
    </row>
    <row r="80" customFormat="false" ht="15" hidden="false" customHeight="true" outlineLevel="0" collapsed="false">
      <c r="A80" s="40" t="n">
        <v>2014</v>
      </c>
      <c r="B80" s="40" t="s">
        <v>252</v>
      </c>
      <c r="C80" s="41" t="n">
        <v>11418.9</v>
      </c>
      <c r="D80" s="41" t="n">
        <v>11578.9</v>
      </c>
      <c r="E80" s="41" t="n">
        <v>10101.2</v>
      </c>
      <c r="F80" s="41" t="n">
        <v>10237.75</v>
      </c>
      <c r="G80" s="42" t="n">
        <f aca="false">(F80/C80-1)</f>
        <v>-0.103438159542513</v>
      </c>
      <c r="H80" s="42" t="n">
        <f aca="false">(D80/E80-1)</f>
        <v>0.146289549756464</v>
      </c>
      <c r="I80" s="42" t="n">
        <f aca="false">(D80/C80-1)</f>
        <v>0.0140118575344386</v>
      </c>
      <c r="J80" s="42" t="n">
        <f aca="false">(E80/C80-1)</f>
        <v>-0.11539640420706</v>
      </c>
      <c r="K80" s="40" t="n">
        <v>23</v>
      </c>
    </row>
    <row r="81" customFormat="false" ht="15" hidden="false" customHeight="true" outlineLevel="0" collapsed="false">
      <c r="A81" s="40" t="n">
        <v>2014</v>
      </c>
      <c r="B81" s="40" t="s">
        <v>253</v>
      </c>
      <c r="C81" s="41" t="n">
        <v>10205.45</v>
      </c>
      <c r="D81" s="41" t="n">
        <v>10793.6</v>
      </c>
      <c r="E81" s="41" t="n">
        <v>9944</v>
      </c>
      <c r="F81" s="41" t="n">
        <v>10764.7</v>
      </c>
      <c r="G81" s="42" t="n">
        <f aca="false">(F81/C81-1)</f>
        <v>0.0547991514337927</v>
      </c>
      <c r="H81" s="42" t="n">
        <f aca="false">(D81/E81-1)</f>
        <v>0.0854384553499599</v>
      </c>
      <c r="I81" s="42" t="n">
        <f aca="false">(D81/C81-1)</f>
        <v>0.0576309716866967</v>
      </c>
      <c r="J81" s="42" t="n">
        <f aca="false">(E81/C81-1)</f>
        <v>-0.0256186645370856</v>
      </c>
      <c r="K81" s="40" t="n">
        <v>19</v>
      </c>
    </row>
    <row r="82" customFormat="false" ht="15" hidden="false" customHeight="true" outlineLevel="0" collapsed="false">
      <c r="A82" s="40" t="n">
        <v>2014</v>
      </c>
      <c r="B82" s="40" t="s">
        <v>254</v>
      </c>
      <c r="C82" s="41" t="n">
        <v>10705.45</v>
      </c>
      <c r="D82" s="41" t="n">
        <v>12869.35</v>
      </c>
      <c r="E82" s="41" t="n">
        <v>10613</v>
      </c>
      <c r="F82" s="41" t="n">
        <v>12742.05</v>
      </c>
      <c r="G82" s="42" t="n">
        <f aca="false">(F82/C82-1)</f>
        <v>0.190239550882961</v>
      </c>
      <c r="H82" s="42" t="n">
        <f aca="false">(D82/E82-1)</f>
        <v>0.212602468670499</v>
      </c>
      <c r="I82" s="42" t="n">
        <f aca="false">(D82/C82-1)</f>
        <v>0.202130690442718</v>
      </c>
      <c r="J82" s="42" t="n">
        <f aca="false">(E82/C82-1)</f>
        <v>-0.00863578831342926</v>
      </c>
      <c r="K82" s="40" t="n">
        <v>20</v>
      </c>
    </row>
    <row r="83" customFormat="false" ht="15" hidden="false" customHeight="true" outlineLevel="0" collapsed="false">
      <c r="A83" s="40" t="n">
        <v>2014</v>
      </c>
      <c r="B83" s="40" t="s">
        <v>255</v>
      </c>
      <c r="C83" s="41" t="n">
        <v>12806.15</v>
      </c>
      <c r="D83" s="41" t="n">
        <v>13268.6</v>
      </c>
      <c r="E83" s="41" t="n">
        <v>12430.85</v>
      </c>
      <c r="F83" s="41" t="n">
        <v>12855.85</v>
      </c>
      <c r="G83" s="42" t="n">
        <f aca="false">(F83/C83-1)</f>
        <v>0.00388094782584925</v>
      </c>
      <c r="H83" s="42" t="n">
        <f aca="false">(D83/E83-1)</f>
        <v>0.0673928170639981</v>
      </c>
      <c r="I83" s="42" t="n">
        <f aca="false">(D83/C83-1)</f>
        <v>0.0361115557759359</v>
      </c>
      <c r="J83" s="42" t="n">
        <f aca="false">(E83/C83-1)</f>
        <v>-0.0293062317714535</v>
      </c>
      <c r="K83" s="40" t="n">
        <v>18</v>
      </c>
    </row>
    <row r="84" customFormat="false" ht="15" hidden="false" customHeight="true" outlineLevel="0" collapsed="false">
      <c r="A84" s="40" t="n">
        <v>2014</v>
      </c>
      <c r="B84" s="40" t="s">
        <v>256</v>
      </c>
      <c r="C84" s="41" t="n">
        <v>12920.35</v>
      </c>
      <c r="D84" s="41" t="n">
        <v>15742.05</v>
      </c>
      <c r="E84" s="41" t="n">
        <v>12773.05</v>
      </c>
      <c r="F84" s="41" t="n">
        <v>14793.4</v>
      </c>
      <c r="G84" s="42" t="n">
        <f aca="false">(F84/C84-1)</f>
        <v>0.144968983038385</v>
      </c>
      <c r="H84" s="42" t="n">
        <f aca="false">(D84/E84-1)</f>
        <v>0.232442525473556</v>
      </c>
      <c r="I84" s="42" t="n">
        <f aca="false">(D84/C84-1)</f>
        <v>0.218391916627645</v>
      </c>
      <c r="J84" s="42" t="n">
        <f aca="false">(E84/C84-1)</f>
        <v>-0.011400619952246</v>
      </c>
      <c r="K84" s="40" t="n">
        <v>21</v>
      </c>
    </row>
    <row r="85" customFormat="false" ht="15" hidden="false" customHeight="true" outlineLevel="0" collapsed="false">
      <c r="A85" s="40" t="n">
        <v>2014</v>
      </c>
      <c r="B85" s="40" t="s">
        <v>257</v>
      </c>
      <c r="C85" s="41" t="n">
        <v>14786.45</v>
      </c>
      <c r="D85" s="41" t="n">
        <v>15725.8</v>
      </c>
      <c r="E85" s="41" t="n">
        <v>14770</v>
      </c>
      <c r="F85" s="41" t="n">
        <v>15241.9</v>
      </c>
      <c r="G85" s="42" t="n">
        <f aca="false">(F85/C85-1)</f>
        <v>0.0308018489901227</v>
      </c>
      <c r="H85" s="42" t="n">
        <f aca="false">(D85/E85-1)</f>
        <v>0.0647122545700745</v>
      </c>
      <c r="I85" s="42" t="n">
        <f aca="false">(D85/C85-1)</f>
        <v>0.0635277568314232</v>
      </c>
      <c r="J85" s="42" t="n">
        <f aca="false">(E85/C85-1)</f>
        <v>-0.00111250502994298</v>
      </c>
      <c r="K85" s="40" t="n">
        <v>21</v>
      </c>
    </row>
    <row r="86" customFormat="false" ht="15" hidden="false" customHeight="true" outlineLevel="0" collapsed="false">
      <c r="A86" s="40" t="n">
        <v>2014</v>
      </c>
      <c r="B86" s="40" t="s">
        <v>258</v>
      </c>
      <c r="C86" s="41" t="n">
        <v>15288.8</v>
      </c>
      <c r="D86" s="41" t="n">
        <v>15626.9</v>
      </c>
      <c r="E86" s="41" t="n">
        <v>14338.65</v>
      </c>
      <c r="F86" s="41" t="n">
        <v>15267.6</v>
      </c>
      <c r="G86" s="42" t="n">
        <f aca="false">(F86/C86-1)</f>
        <v>-0.00138663596881372</v>
      </c>
      <c r="H86" s="42" t="n">
        <f aca="false">(D86/E86-1)</f>
        <v>0.0898445809054549</v>
      </c>
      <c r="I86" s="42" t="n">
        <f aca="false">(D86/C86-1)</f>
        <v>0.0221142274082988</v>
      </c>
      <c r="J86" s="42" t="n">
        <f aca="false">(E86/C86-1)</f>
        <v>-0.0621468002720946</v>
      </c>
      <c r="K86" s="40" t="n">
        <v>22</v>
      </c>
    </row>
    <row r="87" customFormat="false" ht="15" hidden="false" customHeight="true" outlineLevel="0" collapsed="false">
      <c r="A87" s="40" t="n">
        <v>2014</v>
      </c>
      <c r="B87" s="40" t="s">
        <v>259</v>
      </c>
      <c r="C87" s="41" t="n">
        <v>15137.6</v>
      </c>
      <c r="D87" s="41" t="n">
        <v>15973.35</v>
      </c>
      <c r="E87" s="41" t="n">
        <v>14709.1</v>
      </c>
      <c r="F87" s="41" t="n">
        <v>15740.4</v>
      </c>
      <c r="G87" s="42" t="n">
        <f aca="false">(F87/C87-1)</f>
        <v>0.039821371947997</v>
      </c>
      <c r="H87" s="42" t="n">
        <f aca="false">(D87/E87-1)</f>
        <v>0.0859501940975314</v>
      </c>
      <c r="I87" s="42" t="n">
        <f aca="false">(D87/C87-1)</f>
        <v>0.05521020505232</v>
      </c>
      <c r="J87" s="42" t="n">
        <f aca="false">(E87/C87-1)</f>
        <v>-0.028306997146179</v>
      </c>
      <c r="K87" s="40" t="n">
        <v>19</v>
      </c>
    </row>
    <row r="88" customFormat="false" ht="15" hidden="false" customHeight="true" outlineLevel="0" collapsed="false">
      <c r="A88" s="40" t="n">
        <v>2014</v>
      </c>
      <c r="B88" s="40" t="s">
        <v>260</v>
      </c>
      <c r="C88" s="41" t="n">
        <v>15790.25</v>
      </c>
      <c r="D88" s="41" t="n">
        <v>16309.7</v>
      </c>
      <c r="E88" s="41" t="n">
        <v>15168.4</v>
      </c>
      <c r="F88" s="41" t="n">
        <v>15392.25</v>
      </c>
      <c r="G88" s="42" t="n">
        <f aca="false">(F88/C88-1)</f>
        <v>-0.0252054273998195</v>
      </c>
      <c r="H88" s="42" t="n">
        <f aca="false">(D88/E88-1)</f>
        <v>0.0752419503705071</v>
      </c>
      <c r="I88" s="42" t="n">
        <f aca="false">(D88/C88-1)</f>
        <v>0.0328968825699403</v>
      </c>
      <c r="J88" s="42" t="n">
        <f aca="false">(E88/C88-1)</f>
        <v>-0.0393818970567281</v>
      </c>
      <c r="K88" s="40" t="n">
        <v>22</v>
      </c>
    </row>
    <row r="89" customFormat="false" ht="15" hidden="false" customHeight="true" outlineLevel="0" collapsed="false">
      <c r="A89" s="40" t="n">
        <v>2014</v>
      </c>
      <c r="B89" s="40" t="s">
        <v>261</v>
      </c>
      <c r="C89" s="41" t="n">
        <v>15370.7</v>
      </c>
      <c r="D89" s="41" t="n">
        <v>17060.15</v>
      </c>
      <c r="E89" s="41" t="n">
        <v>15130.35</v>
      </c>
      <c r="F89" s="41" t="n">
        <v>17045.05</v>
      </c>
      <c r="G89" s="42" t="n">
        <f aca="false">(F89/C89-1)</f>
        <v>0.108931278341259</v>
      </c>
      <c r="H89" s="42" t="n">
        <f aca="false">(D89/E89-1)</f>
        <v>0.127544967565192</v>
      </c>
      <c r="I89" s="42" t="n">
        <f aca="false">(D89/C89-1)</f>
        <v>0.109913666911722</v>
      </c>
      <c r="J89" s="42" t="n">
        <f aca="false">(E89/C89-1)</f>
        <v>-0.0156368935702343</v>
      </c>
      <c r="K89" s="40" t="n">
        <v>17</v>
      </c>
    </row>
    <row r="90" customFormat="false" ht="15" hidden="false" customHeight="true" outlineLevel="0" collapsed="false">
      <c r="A90" s="40" t="n">
        <v>2014</v>
      </c>
      <c r="B90" s="40" t="s">
        <v>262</v>
      </c>
      <c r="C90" s="41" t="n">
        <v>17087</v>
      </c>
      <c r="D90" s="41" t="n">
        <v>18615.4</v>
      </c>
      <c r="E90" s="41" t="n">
        <v>16934.85</v>
      </c>
      <c r="F90" s="41" t="n">
        <v>18513.15</v>
      </c>
      <c r="G90" s="42" t="n">
        <f aca="false">(F90/C90-1)</f>
        <v>0.0834640369871833</v>
      </c>
      <c r="H90" s="42" t="n">
        <f aca="false">(D90/E90-1)</f>
        <v>0.0992361904593193</v>
      </c>
      <c r="I90" s="42" t="n">
        <f aca="false">(D90/C90-1)</f>
        <v>0.0894481184526248</v>
      </c>
      <c r="J90" s="42" t="n">
        <f aca="false">(E90/C90-1)</f>
        <v>-0.00890443026862531</v>
      </c>
      <c r="K90" s="40" t="n">
        <v>18</v>
      </c>
    </row>
    <row r="91" customFormat="false" ht="15" hidden="false" customHeight="true" outlineLevel="0" collapsed="false">
      <c r="A91" s="40" t="n">
        <v>2014</v>
      </c>
      <c r="B91" s="40" t="s">
        <v>263</v>
      </c>
      <c r="C91" s="41" t="n">
        <v>18586.95</v>
      </c>
      <c r="D91" s="41" t="n">
        <v>18923.6</v>
      </c>
      <c r="E91" s="41" t="n">
        <v>17502.45</v>
      </c>
      <c r="F91" s="41" t="n">
        <v>18736.65</v>
      </c>
      <c r="G91" s="42" t="n">
        <f aca="false">(F91/C91-1)</f>
        <v>0.00805403791369752</v>
      </c>
      <c r="H91" s="42" t="n">
        <f aca="false">(D91/E91-1)</f>
        <v>0.0811972038200366</v>
      </c>
      <c r="I91" s="42" t="n">
        <f aca="false">(D91/C91-1)</f>
        <v>0.0181121700978373</v>
      </c>
      <c r="J91" s="42" t="n">
        <f aca="false">(E91/C91-1)</f>
        <v>-0.0583473888938206</v>
      </c>
      <c r="K91" s="40" t="n">
        <v>22</v>
      </c>
    </row>
    <row r="92" customFormat="false" ht="15" hidden="false" customHeight="true" outlineLevel="0" collapsed="false">
      <c r="A92" s="37" t="n">
        <v>2015</v>
      </c>
      <c r="B92" s="37" t="s">
        <v>252</v>
      </c>
      <c r="C92" s="38" t="n">
        <v>18728.2</v>
      </c>
      <c r="D92" s="38" t="n">
        <v>20907.55</v>
      </c>
      <c r="E92" s="38" t="n">
        <v>18211.5</v>
      </c>
      <c r="F92" s="38" t="n">
        <v>19843.75</v>
      </c>
      <c r="G92" s="39" t="n">
        <f aca="false">(F92/C92-1)</f>
        <v>0.0595652545359404</v>
      </c>
      <c r="H92" s="39" t="n">
        <f aca="false">(D92/E92-1)</f>
        <v>0.148041072948412</v>
      </c>
      <c r="I92" s="39" t="n">
        <f aca="false">(D92/C92-1)</f>
        <v>0.116367296376587</v>
      </c>
      <c r="J92" s="39" t="n">
        <f aca="false">(E92/C92-1)</f>
        <v>-0.0275894106214158</v>
      </c>
      <c r="K92" s="37" t="n">
        <v>21</v>
      </c>
    </row>
    <row r="93" customFormat="false" ht="15" hidden="false" customHeight="true" outlineLevel="0" collapsed="false">
      <c r="A93" s="37" t="n">
        <v>2015</v>
      </c>
      <c r="B93" s="37" t="s">
        <v>253</v>
      </c>
      <c r="C93" s="38" t="n">
        <v>19778.95</v>
      </c>
      <c r="D93" s="38" t="n">
        <v>19991.4</v>
      </c>
      <c r="E93" s="38" t="n">
        <v>18226.9</v>
      </c>
      <c r="F93" s="38" t="n">
        <v>19074.55</v>
      </c>
      <c r="G93" s="39" t="n">
        <f aca="false">(F93/C93-1)</f>
        <v>-0.0356136195298538</v>
      </c>
      <c r="H93" s="39" t="n">
        <f aca="false">(D93/E93-1)</f>
        <v>0.0968074658883298</v>
      </c>
      <c r="I93" s="39" t="n">
        <f aca="false">(D93/C93-1)</f>
        <v>0.0107412173042554</v>
      </c>
      <c r="J93" s="39" t="n">
        <f aca="false">(E93/C93-1)</f>
        <v>-0.0784697873244029</v>
      </c>
      <c r="K93" s="37" t="n">
        <v>19</v>
      </c>
    </row>
    <row r="94" customFormat="false" ht="15" hidden="false" customHeight="true" outlineLevel="0" collapsed="false">
      <c r="A94" s="37" t="n">
        <v>2015</v>
      </c>
      <c r="B94" s="37" t="s">
        <v>254</v>
      </c>
      <c r="C94" s="38" t="n">
        <v>19954.5</v>
      </c>
      <c r="D94" s="38" t="n">
        <v>20541.65</v>
      </c>
      <c r="E94" s="38" t="n">
        <v>17719.35</v>
      </c>
      <c r="F94" s="38" t="n">
        <v>18206.65</v>
      </c>
      <c r="G94" s="39" t="n">
        <f aca="false">(F94/C94-1)</f>
        <v>-0.0875917712796611</v>
      </c>
      <c r="H94" s="39" t="n">
        <f aca="false">(D94/E94-1)</f>
        <v>0.159277851614196</v>
      </c>
      <c r="I94" s="39" t="n">
        <f aca="false">(D94/C94-1)</f>
        <v>0.0294244406023705</v>
      </c>
      <c r="J94" s="39" t="n">
        <f aca="false">(E94/C94-1)</f>
        <v>-0.112012328046305</v>
      </c>
      <c r="K94" s="37" t="n">
        <v>21</v>
      </c>
    </row>
    <row r="95" customFormat="false" ht="15" hidden="false" customHeight="true" outlineLevel="0" collapsed="false">
      <c r="A95" s="37" t="n">
        <v>2015</v>
      </c>
      <c r="B95" s="37" t="s">
        <v>255</v>
      </c>
      <c r="C95" s="38" t="n">
        <v>18204.55</v>
      </c>
      <c r="D95" s="38" t="n">
        <v>19038.5</v>
      </c>
      <c r="E95" s="38" t="n">
        <v>17738.9</v>
      </c>
      <c r="F95" s="38" t="n">
        <v>18338.1</v>
      </c>
      <c r="G95" s="39" t="n">
        <f aca="false">(F95/C95-1)</f>
        <v>0.00733607806839487</v>
      </c>
      <c r="H95" s="39" t="n">
        <f aca="false">(D95/E95-1)</f>
        <v>0.0732627164029336</v>
      </c>
      <c r="I95" s="39" t="n">
        <f aca="false">(D95/C95-1)</f>
        <v>0.0458099760774093</v>
      </c>
      <c r="J95" s="39" t="n">
        <f aca="false">(E95/C95-1)</f>
        <v>-0.0255787701426291</v>
      </c>
      <c r="K95" s="37" t="n">
        <v>19</v>
      </c>
    </row>
    <row r="96" customFormat="false" ht="15" hidden="false" customHeight="true" outlineLevel="0" collapsed="false">
      <c r="A96" s="37" t="n">
        <v>2015</v>
      </c>
      <c r="B96" s="37" t="s">
        <v>256</v>
      </c>
      <c r="C96" s="38" t="n">
        <v>18417.5</v>
      </c>
      <c r="D96" s="38" t="n">
        <v>18755.45</v>
      </c>
      <c r="E96" s="38" t="n">
        <v>17246.55</v>
      </c>
      <c r="F96" s="38" t="n">
        <v>18721.35</v>
      </c>
      <c r="G96" s="39" t="n">
        <f aca="false">(F96/C96-1)</f>
        <v>0.0164978960228044</v>
      </c>
      <c r="H96" s="39" t="n">
        <f aca="false">(D96/E96-1)</f>
        <v>0.0874899617604681</v>
      </c>
      <c r="I96" s="39" t="n">
        <f aca="false">(D96/C96-1)</f>
        <v>0.0183493959549341</v>
      </c>
      <c r="J96" s="39" t="n">
        <f aca="false">(E96/C96-1)</f>
        <v>-0.0635781186371658</v>
      </c>
      <c r="K96" s="37" t="n">
        <v>20</v>
      </c>
    </row>
    <row r="97" customFormat="false" ht="15" hidden="false" customHeight="true" outlineLevel="0" collapsed="false">
      <c r="A97" s="37" t="n">
        <v>2015</v>
      </c>
      <c r="B97" s="37" t="s">
        <v>257</v>
      </c>
      <c r="C97" s="38" t="n">
        <v>18721.15</v>
      </c>
      <c r="D97" s="38" t="n">
        <v>18832.5</v>
      </c>
      <c r="E97" s="38" t="n">
        <v>17174.7</v>
      </c>
      <c r="F97" s="38" t="n">
        <v>18296.1</v>
      </c>
      <c r="G97" s="39" t="n">
        <f aca="false">(F97/C97-1)</f>
        <v>-0.0227042676331317</v>
      </c>
      <c r="H97" s="39" t="n">
        <f aca="false">(D97/E97-1)</f>
        <v>0.0965257035057381</v>
      </c>
      <c r="I97" s="39" t="n">
        <f aca="false">(D97/C97-1)</f>
        <v>0.00594781837654201</v>
      </c>
      <c r="J97" s="39" t="n">
        <f aca="false">(E97/C97-1)</f>
        <v>-0.0826044340224826</v>
      </c>
      <c r="K97" s="37" t="n">
        <v>22</v>
      </c>
    </row>
    <row r="98" customFormat="false" ht="15" hidden="false" customHeight="true" outlineLevel="0" collapsed="false">
      <c r="A98" s="37" t="n">
        <v>2015</v>
      </c>
      <c r="B98" s="37" t="s">
        <v>258</v>
      </c>
      <c r="C98" s="38" t="n">
        <v>18275.6</v>
      </c>
      <c r="D98" s="38" t="n">
        <v>19229.05</v>
      </c>
      <c r="E98" s="38" t="n">
        <v>18174.2</v>
      </c>
      <c r="F98" s="38" t="n">
        <v>18729.85</v>
      </c>
      <c r="G98" s="39" t="n">
        <f aca="false">(F98/C98-1)</f>
        <v>0.0248555450983825</v>
      </c>
      <c r="H98" s="39" t="n">
        <f aca="false">(D98/E98-1)</f>
        <v>0.058041069207998</v>
      </c>
      <c r="I98" s="39" t="n">
        <f aca="false">(D98/C98-1)</f>
        <v>0.0521706537678655</v>
      </c>
      <c r="J98" s="39" t="n">
        <f aca="false">(E98/C98-1)</f>
        <v>-0.00554838144848857</v>
      </c>
      <c r="K98" s="37" t="n">
        <v>23</v>
      </c>
    </row>
    <row r="99" customFormat="false" ht="15" hidden="false" customHeight="true" outlineLevel="0" collapsed="false">
      <c r="A99" s="37" t="n">
        <v>2015</v>
      </c>
      <c r="B99" s="37" t="s">
        <v>259</v>
      </c>
      <c r="C99" s="38" t="n">
        <v>18782.65</v>
      </c>
      <c r="D99" s="38" t="n">
        <v>19103.7</v>
      </c>
      <c r="E99" s="38" t="n">
        <v>16670.55</v>
      </c>
      <c r="F99" s="38" t="n">
        <v>17146.55</v>
      </c>
      <c r="G99" s="39" t="n">
        <f aca="false">(F99/C99-1)</f>
        <v>-0.087106984371215</v>
      </c>
      <c r="H99" s="39" t="n">
        <f aca="false">(D99/E99-1)</f>
        <v>0.145954992486751</v>
      </c>
      <c r="I99" s="39" t="n">
        <f aca="false">(D99/C99-1)</f>
        <v>0.0170929022262567</v>
      </c>
      <c r="J99" s="39" t="n">
        <f aca="false">(E99/C99-1)</f>
        <v>-0.112449521233692</v>
      </c>
      <c r="K99" s="37" t="n">
        <v>21</v>
      </c>
    </row>
    <row r="100" customFormat="false" ht="15" hidden="false" customHeight="true" outlineLevel="0" collapsed="false">
      <c r="A100" s="37" t="n">
        <v>2015</v>
      </c>
      <c r="B100" s="37" t="s">
        <v>260</v>
      </c>
      <c r="C100" s="38" t="n">
        <v>16983.8</v>
      </c>
      <c r="D100" s="38" t="n">
        <v>17652.35</v>
      </c>
      <c r="E100" s="38" t="n">
        <v>15762.2</v>
      </c>
      <c r="F100" s="38" t="n">
        <v>17216.3</v>
      </c>
      <c r="G100" s="39" t="n">
        <f aca="false">(F100/C100-1)</f>
        <v>0.0136895158916144</v>
      </c>
      <c r="H100" s="39" t="n">
        <f aca="false">(D100/E100-1)</f>
        <v>0.119916636002588</v>
      </c>
      <c r="I100" s="39" t="n">
        <f aca="false">(D100/C100-1)</f>
        <v>0.0393639821476937</v>
      </c>
      <c r="J100" s="39" t="n">
        <f aca="false">(E100/C100-1)</f>
        <v>-0.0719273660782628</v>
      </c>
      <c r="K100" s="37" t="n">
        <v>20</v>
      </c>
    </row>
    <row r="101" customFormat="false" ht="15" hidden="false" customHeight="true" outlineLevel="0" collapsed="false">
      <c r="A101" s="37" t="n">
        <v>2015</v>
      </c>
      <c r="B101" s="37" t="s">
        <v>261</v>
      </c>
      <c r="C101" s="38" t="n">
        <v>17362.95</v>
      </c>
      <c r="D101" s="38" t="n">
        <v>18029.05</v>
      </c>
      <c r="E101" s="38" t="n">
        <v>17111.65</v>
      </c>
      <c r="F101" s="38" t="n">
        <v>17354.5</v>
      </c>
      <c r="G101" s="39" t="n">
        <f aca="false">(F101/C101-1)</f>
        <v>-0.000486668452077566</v>
      </c>
      <c r="H101" s="39" t="n">
        <f aca="false">(D101/E101-1)</f>
        <v>0.0536125972656054</v>
      </c>
      <c r="I101" s="39" t="n">
        <f aca="false">(D101/C101-1)</f>
        <v>0.0383632965596283</v>
      </c>
      <c r="J101" s="39" t="n">
        <f aca="false">(E101/C101-1)</f>
        <v>-0.0144733469830876</v>
      </c>
      <c r="K101" s="37" t="n">
        <v>20</v>
      </c>
    </row>
    <row r="102" customFormat="false" ht="15" hidden="false" customHeight="true" outlineLevel="0" collapsed="false">
      <c r="A102" s="37" t="n">
        <v>2015</v>
      </c>
      <c r="B102" s="37" t="s">
        <v>262</v>
      </c>
      <c r="C102" s="38" t="n">
        <v>17351.45</v>
      </c>
      <c r="D102" s="38" t="n">
        <v>17498.35</v>
      </c>
      <c r="E102" s="38" t="n">
        <v>16587.25</v>
      </c>
      <c r="F102" s="38" t="n">
        <v>17430.4</v>
      </c>
      <c r="G102" s="39" t="n">
        <f aca="false">(F102/C102-1)</f>
        <v>0.00455005201294423</v>
      </c>
      <c r="H102" s="39" t="n">
        <f aca="false">(D102/E102-1)</f>
        <v>0.0549277306364828</v>
      </c>
      <c r="I102" s="39" t="n">
        <f aca="false">(D102/C102-1)</f>
        <v>0.00846615124384398</v>
      </c>
      <c r="J102" s="39" t="n">
        <f aca="false">(E102/C102-1)</f>
        <v>-0.0440424287307402</v>
      </c>
      <c r="K102" s="37" t="n">
        <v>18</v>
      </c>
    </row>
    <row r="103" customFormat="false" ht="15" hidden="false" customHeight="true" outlineLevel="0" collapsed="false">
      <c r="A103" s="37" t="n">
        <v>2015</v>
      </c>
      <c r="B103" s="37" t="s">
        <v>263</v>
      </c>
      <c r="C103" s="38" t="n">
        <v>17456.75</v>
      </c>
      <c r="D103" s="38" t="n">
        <v>17495.45</v>
      </c>
      <c r="E103" s="38" t="n">
        <v>16188.05</v>
      </c>
      <c r="F103" s="38" t="n">
        <v>16922.2</v>
      </c>
      <c r="G103" s="39" t="n">
        <f aca="false">(F103/C103-1)</f>
        <v>-0.0306213928709524</v>
      </c>
      <c r="H103" s="39" t="n">
        <f aca="false">(D103/E103-1)</f>
        <v>0.0807632790854984</v>
      </c>
      <c r="I103" s="39" t="n">
        <f aca="false">(D103/C103-1)</f>
        <v>0.00221690749996428</v>
      </c>
      <c r="J103" s="39" t="n">
        <f aca="false">(E103/C103-1)</f>
        <v>-0.0726767582740201</v>
      </c>
      <c r="K103" s="37" t="n">
        <v>22</v>
      </c>
    </row>
    <row r="104" customFormat="false" ht="15" hidden="false" customHeight="true" outlineLevel="0" collapsed="false">
      <c r="A104" s="40" t="n">
        <v>2016</v>
      </c>
      <c r="B104" s="40" t="s">
        <v>252</v>
      </c>
      <c r="C104" s="41" t="n">
        <v>16932.5</v>
      </c>
      <c r="D104" s="41" t="n">
        <v>17067.45</v>
      </c>
      <c r="E104" s="41" t="n">
        <v>14754.65</v>
      </c>
      <c r="F104" s="41" t="n">
        <v>15522.4</v>
      </c>
      <c r="G104" s="42" t="n">
        <f aca="false">(F104/C104-1)</f>
        <v>-0.0832777203602539</v>
      </c>
      <c r="H104" s="42" t="n">
        <f aca="false">(D104/E104-1)</f>
        <v>0.156750583714287</v>
      </c>
      <c r="I104" s="42" t="n">
        <f aca="false">(D104/C104-1)</f>
        <v>0.00796988040750035</v>
      </c>
      <c r="J104" s="42" t="n">
        <f aca="false">(E104/C104-1)</f>
        <v>-0.1286195186771</v>
      </c>
      <c r="K104" s="40" t="n">
        <v>20</v>
      </c>
    </row>
    <row r="105" customFormat="false" ht="15" hidden="false" customHeight="true" outlineLevel="0" collapsed="false">
      <c r="A105" s="40" t="n">
        <v>2016</v>
      </c>
      <c r="B105" s="40" t="s">
        <v>253</v>
      </c>
      <c r="C105" s="41" t="n">
        <v>15547.75</v>
      </c>
      <c r="D105" s="41" t="n">
        <v>15565.5</v>
      </c>
      <c r="E105" s="41" t="n">
        <v>13407.25</v>
      </c>
      <c r="F105" s="41" t="n">
        <v>13946.4</v>
      </c>
      <c r="G105" s="42" t="n">
        <f aca="false">(F105/C105-1)</f>
        <v>-0.10299561029731</v>
      </c>
      <c r="H105" s="42" t="n">
        <f aca="false">(D105/E105-1)</f>
        <v>0.160976337429376</v>
      </c>
      <c r="I105" s="42" t="n">
        <f aca="false">(D105/C105-1)</f>
        <v>0.00114164428936658</v>
      </c>
      <c r="J105" s="42" t="n">
        <f aca="false">(E105/C105-1)</f>
        <v>-0.137672653599395</v>
      </c>
      <c r="K105" s="40" t="n">
        <v>21</v>
      </c>
    </row>
    <row r="106" customFormat="false" ht="15" hidden="false" customHeight="true" outlineLevel="0" collapsed="false">
      <c r="A106" s="40" t="n">
        <v>2016</v>
      </c>
      <c r="B106" s="40" t="s">
        <v>254</v>
      </c>
      <c r="C106" s="41" t="n">
        <v>14064.8</v>
      </c>
      <c r="D106" s="41" t="n">
        <v>16282.75</v>
      </c>
      <c r="E106" s="41" t="n">
        <v>14064.8</v>
      </c>
      <c r="F106" s="41" t="n">
        <v>16141.65</v>
      </c>
      <c r="G106" s="42" t="n">
        <f aca="false">(F106/C106-1)</f>
        <v>0.147662960013651</v>
      </c>
      <c r="H106" s="42" t="n">
        <f aca="false">(D106/E106-1)</f>
        <v>0.157695096979694</v>
      </c>
      <c r="I106" s="42" t="n">
        <f aca="false">(D106/C106-1)</f>
        <v>0.157695096979694</v>
      </c>
      <c r="J106" s="42" t="n">
        <f aca="false">(E106/C106-1)</f>
        <v>0</v>
      </c>
      <c r="K106" s="40" t="n">
        <v>20</v>
      </c>
    </row>
    <row r="107" customFormat="false" ht="15" hidden="false" customHeight="true" outlineLevel="0" collapsed="false">
      <c r="A107" s="40" t="n">
        <v>2016</v>
      </c>
      <c r="B107" s="40" t="s">
        <v>255</v>
      </c>
      <c r="C107" s="41" t="n">
        <v>16099.65</v>
      </c>
      <c r="D107" s="41" t="n">
        <v>17029.85</v>
      </c>
      <c r="E107" s="41" t="n">
        <v>15440.25</v>
      </c>
      <c r="F107" s="41" t="n">
        <v>16795</v>
      </c>
      <c r="G107" s="42" t="n">
        <f aca="false">(F107/C107-1)</f>
        <v>0.0431903799150915</v>
      </c>
      <c r="H107" s="42" t="n">
        <f aca="false">(D107/E107-1)</f>
        <v>0.102951700911578</v>
      </c>
      <c r="I107" s="42" t="n">
        <f aca="false">(D107/C107-1)</f>
        <v>0.0577776535514747</v>
      </c>
      <c r="J107" s="42" t="n">
        <f aca="false">(E107/C107-1)</f>
        <v>-0.0409574121176547</v>
      </c>
      <c r="K107" s="40" t="n">
        <v>18</v>
      </c>
    </row>
    <row r="108" customFormat="false" ht="15" hidden="false" customHeight="true" outlineLevel="0" collapsed="false">
      <c r="A108" s="40" t="n">
        <v>2016</v>
      </c>
      <c r="B108" s="40" t="s">
        <v>256</v>
      </c>
      <c r="C108" s="41" t="n">
        <v>16614</v>
      </c>
      <c r="D108" s="41" t="n">
        <v>17666.05</v>
      </c>
      <c r="E108" s="41" t="n">
        <v>16186.25</v>
      </c>
      <c r="F108" s="41" t="n">
        <v>17620.9</v>
      </c>
      <c r="G108" s="42" t="n">
        <f aca="false">(F108/C108-1)</f>
        <v>0.0606055134224148</v>
      </c>
      <c r="H108" s="42" t="n">
        <f aca="false">(D108/E108-1)</f>
        <v>0.0914232759286431</v>
      </c>
      <c r="I108" s="42" t="n">
        <f aca="false">(D108/C108-1)</f>
        <v>0.0633231009991573</v>
      </c>
      <c r="J108" s="42" t="n">
        <f aca="false">(E108/C108-1)</f>
        <v>-0.0257463584928374</v>
      </c>
      <c r="K108" s="40" t="n">
        <v>22</v>
      </c>
    </row>
    <row r="109" customFormat="false" ht="15" hidden="false" customHeight="true" outlineLevel="0" collapsed="false">
      <c r="A109" s="40" t="n">
        <v>2016</v>
      </c>
      <c r="B109" s="40" t="s">
        <v>257</v>
      </c>
      <c r="C109" s="41" t="n">
        <v>17670.85</v>
      </c>
      <c r="D109" s="41" t="n">
        <v>18051.5</v>
      </c>
      <c r="E109" s="41" t="n">
        <v>16946.35</v>
      </c>
      <c r="F109" s="41" t="n">
        <v>17935.4</v>
      </c>
      <c r="G109" s="42" t="n">
        <f aca="false">(F109/C109-1)</f>
        <v>0.0149709832860334</v>
      </c>
      <c r="H109" s="42" t="n">
        <f aca="false">(D109/E109-1)</f>
        <v>0.0652146332396062</v>
      </c>
      <c r="I109" s="42" t="n">
        <f aca="false">(D109/C109-1)</f>
        <v>0.0215411256391176</v>
      </c>
      <c r="J109" s="42" t="n">
        <f aca="false">(E109/C109-1)</f>
        <v>-0.040999725536689</v>
      </c>
      <c r="K109" s="40" t="n">
        <v>22</v>
      </c>
    </row>
    <row r="110" customFormat="false" ht="15" hidden="false" customHeight="true" outlineLevel="0" collapsed="false">
      <c r="A110" s="40" t="n">
        <v>2016</v>
      </c>
      <c r="B110" s="40" t="s">
        <v>258</v>
      </c>
      <c r="C110" s="41" t="n">
        <v>18019.7</v>
      </c>
      <c r="D110" s="41" t="n">
        <v>19158</v>
      </c>
      <c r="E110" s="41" t="n">
        <v>17910.9</v>
      </c>
      <c r="F110" s="41" t="n">
        <v>18953.15</v>
      </c>
      <c r="G110" s="42" t="n">
        <f aca="false">(F110/C110-1)</f>
        <v>0.0518016393169698</v>
      </c>
      <c r="H110" s="42" t="n">
        <f aca="false">(D110/E110-1)</f>
        <v>0.0696279918932046</v>
      </c>
      <c r="I110" s="42" t="n">
        <f aca="false">(D110/C110-1)</f>
        <v>0.0631697531035478</v>
      </c>
      <c r="J110" s="42" t="n">
        <f aca="false">(E110/C110-1)</f>
        <v>-0.00603783636797506</v>
      </c>
      <c r="K110" s="40" t="n">
        <v>20</v>
      </c>
    </row>
    <row r="111" customFormat="false" ht="15" hidden="false" customHeight="true" outlineLevel="0" collapsed="false">
      <c r="A111" s="40" t="n">
        <v>2016</v>
      </c>
      <c r="B111" s="40" t="s">
        <v>259</v>
      </c>
      <c r="C111" s="41" t="n">
        <v>18896.5</v>
      </c>
      <c r="D111" s="41" t="n">
        <v>19823.4</v>
      </c>
      <c r="E111" s="41" t="n">
        <v>18443.65</v>
      </c>
      <c r="F111" s="41" t="n">
        <v>19787.6</v>
      </c>
      <c r="G111" s="42" t="n">
        <f aca="false">(F111/C111-1)</f>
        <v>0.0471568809038709</v>
      </c>
      <c r="H111" s="42" t="n">
        <f aca="false">(D111/E111-1)</f>
        <v>0.0748089450840803</v>
      </c>
      <c r="I111" s="42" t="n">
        <f aca="false">(D111/C111-1)</f>
        <v>0.0490514116370757</v>
      </c>
      <c r="J111" s="42" t="n">
        <f aca="false">(E111/C111-1)</f>
        <v>-0.0239647553779799</v>
      </c>
      <c r="K111" s="40" t="n">
        <v>22</v>
      </c>
    </row>
    <row r="112" customFormat="false" ht="15" hidden="false" customHeight="true" outlineLevel="0" collapsed="false">
      <c r="A112" s="40" t="n">
        <v>2016</v>
      </c>
      <c r="B112" s="40" t="s">
        <v>260</v>
      </c>
      <c r="C112" s="41" t="n">
        <v>19805.8</v>
      </c>
      <c r="D112" s="41" t="n">
        <v>20575.8</v>
      </c>
      <c r="E112" s="41" t="n">
        <v>19059.05</v>
      </c>
      <c r="F112" s="41" t="n">
        <v>19285.7</v>
      </c>
      <c r="G112" s="42" t="n">
        <f aca="false">(F112/C112-1)</f>
        <v>-0.0262599844489997</v>
      </c>
      <c r="H112" s="42" t="n">
        <f aca="false">(D112/E112-1)</f>
        <v>0.0795816160826484</v>
      </c>
      <c r="I112" s="42" t="n">
        <f aca="false">(D112/C112-1)</f>
        <v>0.0388775005301478</v>
      </c>
      <c r="J112" s="42" t="n">
        <f aca="false">(E112/C112-1)</f>
        <v>-0.037703601975179</v>
      </c>
      <c r="K112" s="40" t="n">
        <v>20</v>
      </c>
    </row>
    <row r="113" customFormat="false" ht="15" hidden="false" customHeight="true" outlineLevel="0" collapsed="false">
      <c r="A113" s="40" t="n">
        <v>2016</v>
      </c>
      <c r="B113" s="40" t="s">
        <v>261</v>
      </c>
      <c r="C113" s="41" t="n">
        <v>19395.55</v>
      </c>
      <c r="D113" s="41" t="n">
        <v>19922.7</v>
      </c>
      <c r="E113" s="41" t="n">
        <v>18824.4</v>
      </c>
      <c r="F113" s="41" t="n">
        <v>19555.95</v>
      </c>
      <c r="G113" s="42" t="n">
        <f aca="false">(F113/C113-1)</f>
        <v>0.00826993820747557</v>
      </c>
      <c r="H113" s="42" t="n">
        <f aca="false">(D113/E113-1)</f>
        <v>0.0583444890673805</v>
      </c>
      <c r="I113" s="42" t="n">
        <f aca="false">(D113/C113-1)</f>
        <v>0.0271789147510642</v>
      </c>
      <c r="J113" s="42" t="n">
        <f aca="false">(E113/C113-1)</f>
        <v>-0.029447476354112</v>
      </c>
      <c r="K113" s="40" t="n">
        <v>18</v>
      </c>
    </row>
    <row r="114" customFormat="false" ht="15" hidden="false" customHeight="true" outlineLevel="0" collapsed="false">
      <c r="A114" s="40" t="n">
        <v>2016</v>
      </c>
      <c r="B114" s="40" t="s">
        <v>262</v>
      </c>
      <c r="C114" s="41" t="n">
        <v>19578.6</v>
      </c>
      <c r="D114" s="41" t="n">
        <v>20309.65</v>
      </c>
      <c r="E114" s="41" t="n">
        <v>18143.7</v>
      </c>
      <c r="F114" s="41" t="n">
        <v>18627.8</v>
      </c>
      <c r="G114" s="42" t="n">
        <f aca="false">(F114/C114-1)</f>
        <v>-0.0485632271970417</v>
      </c>
      <c r="H114" s="42" t="n">
        <f aca="false">(D114/E114-1)</f>
        <v>0.119377524981123</v>
      </c>
      <c r="I114" s="42" t="n">
        <f aca="false">(D114/C114-1)</f>
        <v>0.0373392377391644</v>
      </c>
      <c r="J114" s="42" t="n">
        <f aca="false">(E114/C114-1)</f>
        <v>-0.0732892035181268</v>
      </c>
      <c r="K114" s="40" t="n">
        <v>21</v>
      </c>
    </row>
    <row r="115" customFormat="false" ht="15" hidden="false" customHeight="true" outlineLevel="0" collapsed="false">
      <c r="A115" s="40" t="n">
        <v>2016</v>
      </c>
      <c r="B115" s="40" t="s">
        <v>263</v>
      </c>
      <c r="C115" s="41" t="n">
        <v>18676.75</v>
      </c>
      <c r="D115" s="41" t="n">
        <v>18739.65</v>
      </c>
      <c r="E115" s="41" t="n">
        <v>17606.9</v>
      </c>
      <c r="F115" s="41" t="n">
        <v>18177.2</v>
      </c>
      <c r="G115" s="42" t="n">
        <f aca="false">(F115/C115-1)</f>
        <v>-0.0267471589007723</v>
      </c>
      <c r="H115" s="42" t="n">
        <f aca="false">(D115/E115-1)</f>
        <v>0.0643355729855908</v>
      </c>
      <c r="I115" s="42" t="n">
        <f aca="false">(D115/C115-1)</f>
        <v>0.00336782363098509</v>
      </c>
      <c r="J115" s="42" t="n">
        <f aca="false">(E115/C115-1)</f>
        <v>-0.057282450105077</v>
      </c>
      <c r="K115" s="40" t="n">
        <v>22</v>
      </c>
    </row>
    <row r="116" customFormat="false" ht="15" hidden="false" customHeight="true" outlineLevel="0" collapsed="false">
      <c r="A116" s="37" t="n">
        <v>2017</v>
      </c>
      <c r="B116" s="37" t="s">
        <v>252</v>
      </c>
      <c r="C116" s="38" t="n">
        <v>18242.3</v>
      </c>
      <c r="D116" s="38" t="n">
        <v>19794.95</v>
      </c>
      <c r="E116" s="38" t="n">
        <v>17830.95</v>
      </c>
      <c r="F116" s="38" t="n">
        <v>19515.15</v>
      </c>
      <c r="G116" s="39" t="n">
        <f aca="false">(F116/C116-1)</f>
        <v>0.0697746446445899</v>
      </c>
      <c r="H116" s="39" t="n">
        <f aca="false">(D116/E116-1)</f>
        <v>0.110145561509622</v>
      </c>
      <c r="I116" s="39" t="n">
        <f aca="false">(D116/C116-1)</f>
        <v>0.0851126228600561</v>
      </c>
      <c r="J116" s="39" t="n">
        <f aca="false">(E116/C116-1)</f>
        <v>-0.0225492399532953</v>
      </c>
      <c r="K116" s="37" t="n">
        <v>21</v>
      </c>
    </row>
    <row r="117" customFormat="false" ht="15" hidden="false" customHeight="true" outlineLevel="0" collapsed="false">
      <c r="A117" s="37" t="n">
        <v>2017</v>
      </c>
      <c r="B117" s="37" t="s">
        <v>253</v>
      </c>
      <c r="C117" s="38" t="n">
        <v>19522.4</v>
      </c>
      <c r="D117" s="38" t="n">
        <v>21042.35</v>
      </c>
      <c r="E117" s="38" t="n">
        <v>19470.95</v>
      </c>
      <c r="F117" s="38" t="n">
        <v>20607.25</v>
      </c>
      <c r="G117" s="39" t="n">
        <f aca="false">(F117/C117-1)</f>
        <v>0.055569499651682</v>
      </c>
      <c r="H117" s="39" t="n">
        <f aca="false">(D117/E117-1)</f>
        <v>0.0807048449099812</v>
      </c>
      <c r="I117" s="39" t="n">
        <f aca="false">(D117/C117-1)</f>
        <v>0.0778567184362577</v>
      </c>
      <c r="J117" s="39" t="n">
        <f aca="false">(E117/C117-1)</f>
        <v>-0.00263543416793022</v>
      </c>
      <c r="K117" s="37" t="n">
        <v>19</v>
      </c>
    </row>
    <row r="118" customFormat="false" ht="15" hidden="false" customHeight="true" outlineLevel="0" collapsed="false">
      <c r="A118" s="37" t="n">
        <v>2017</v>
      </c>
      <c r="B118" s="37" t="s">
        <v>254</v>
      </c>
      <c r="C118" s="38" t="n">
        <v>20698.9</v>
      </c>
      <c r="D118" s="38" t="n">
        <v>21696</v>
      </c>
      <c r="E118" s="38" t="n">
        <v>20423.35</v>
      </c>
      <c r="F118" s="38" t="n">
        <v>21444.15</v>
      </c>
      <c r="G118" s="39" t="n">
        <f aca="false">(F118/C118-1)</f>
        <v>0.0360043287324447</v>
      </c>
      <c r="H118" s="39" t="n">
        <f aca="false">(D118/E118-1)</f>
        <v>0.0623134794242866</v>
      </c>
      <c r="I118" s="39" t="n">
        <f aca="false">(D118/C118-1)</f>
        <v>0.0481716419713125</v>
      </c>
      <c r="J118" s="39" t="n">
        <f aca="false">(E118/C118-1)</f>
        <v>-0.0133123016198929</v>
      </c>
      <c r="K118" s="37" t="n">
        <v>22</v>
      </c>
    </row>
    <row r="119" customFormat="false" ht="15" hidden="false" customHeight="true" outlineLevel="0" collapsed="false">
      <c r="A119" s="37" t="n">
        <v>2017</v>
      </c>
      <c r="B119" s="37" t="s">
        <v>255</v>
      </c>
      <c r="C119" s="38" t="n">
        <v>21539.2</v>
      </c>
      <c r="D119" s="38" t="n">
        <v>22383</v>
      </c>
      <c r="E119" s="38" t="n">
        <v>21386.2</v>
      </c>
      <c r="F119" s="38" t="n">
        <v>22358.25</v>
      </c>
      <c r="G119" s="39" t="n">
        <f aca="false">(F119/C119-1)</f>
        <v>0.0380260176793938</v>
      </c>
      <c r="H119" s="39" t="n">
        <f aca="false">(D119/E119-1)</f>
        <v>0.0466094958431138</v>
      </c>
      <c r="I119" s="39" t="n">
        <f aca="false">(D119/C119-1)</f>
        <v>0.0391750854256425</v>
      </c>
      <c r="J119" s="39" t="n">
        <f aca="false">(E119/C119-1)</f>
        <v>-0.00710332788590107</v>
      </c>
      <c r="K119" s="37" t="n">
        <v>18</v>
      </c>
    </row>
    <row r="120" customFormat="false" ht="15" hidden="false" customHeight="true" outlineLevel="0" collapsed="false">
      <c r="A120" s="37" t="n">
        <v>2017</v>
      </c>
      <c r="B120" s="37" t="s">
        <v>256</v>
      </c>
      <c r="C120" s="38" t="n">
        <v>22412.55</v>
      </c>
      <c r="D120" s="38" t="n">
        <v>23469.45</v>
      </c>
      <c r="E120" s="38" t="n">
        <v>22240.05</v>
      </c>
      <c r="F120" s="38" t="n">
        <v>23424.8</v>
      </c>
      <c r="G120" s="39" t="n">
        <f aca="false">(F120/C120-1)</f>
        <v>0.0451644279655818</v>
      </c>
      <c r="H120" s="39" t="n">
        <f aca="false">(D120/E120-1)</f>
        <v>0.0552786527008708</v>
      </c>
      <c r="I120" s="39" t="n">
        <f aca="false">(D120/C120-1)</f>
        <v>0.0471566153784375</v>
      </c>
      <c r="J120" s="39" t="n">
        <f aca="false">(E120/C120-1)</f>
        <v>-0.00769658071036095</v>
      </c>
      <c r="K120" s="37" t="n">
        <v>22</v>
      </c>
    </row>
    <row r="121" customFormat="false" ht="15" hidden="false" customHeight="true" outlineLevel="0" collapsed="false">
      <c r="A121" s="37" t="n">
        <v>2017</v>
      </c>
      <c r="B121" s="37" t="s">
        <v>257</v>
      </c>
      <c r="C121" s="38" t="n">
        <v>23394.1</v>
      </c>
      <c r="D121" s="38" t="n">
        <v>23897.85</v>
      </c>
      <c r="E121" s="38" t="n">
        <v>22996.4</v>
      </c>
      <c r="F121" s="38" t="n">
        <v>23211.2</v>
      </c>
      <c r="G121" s="39" t="n">
        <f aca="false">(F121/C121-1)</f>
        <v>-0.00781821057446097</v>
      </c>
      <c r="H121" s="39" t="n">
        <f aca="false">(D121/E121-1)</f>
        <v>0.039199613852603</v>
      </c>
      <c r="I121" s="39" t="n">
        <f aca="false">(D121/C121-1)</f>
        <v>0.0215332070906766</v>
      </c>
      <c r="J121" s="39" t="n">
        <f aca="false">(E121/C121-1)</f>
        <v>-0.0170000128237461</v>
      </c>
      <c r="K121" s="37" t="n">
        <v>21</v>
      </c>
    </row>
    <row r="122" customFormat="false" ht="15" hidden="false" customHeight="true" outlineLevel="0" collapsed="false">
      <c r="A122" s="37" t="n">
        <v>2017</v>
      </c>
      <c r="B122" s="37" t="s">
        <v>258</v>
      </c>
      <c r="C122" s="38" t="n">
        <v>23240.35</v>
      </c>
      <c r="D122" s="38" t="n">
        <v>25168.1</v>
      </c>
      <c r="E122" s="38" t="n">
        <v>23144.3</v>
      </c>
      <c r="F122" s="38" t="n">
        <v>25103.65</v>
      </c>
      <c r="G122" s="39" t="n">
        <f aca="false">(F122/C122-1)</f>
        <v>0.080175212507557</v>
      </c>
      <c r="H122" s="39" t="n">
        <f aca="false">(D122/E122-1)</f>
        <v>0.0874426964738617</v>
      </c>
      <c r="I122" s="39" t="n">
        <f aca="false">(D122/C122-1)</f>
        <v>0.0829484065429307</v>
      </c>
      <c r="J122" s="39" t="n">
        <f aca="false">(E122/C122-1)</f>
        <v>-0.00413289817063856</v>
      </c>
      <c r="K122" s="37" t="n">
        <v>21</v>
      </c>
    </row>
    <row r="123" customFormat="false" ht="15" hidden="false" customHeight="true" outlineLevel="0" collapsed="false">
      <c r="A123" s="37" t="n">
        <v>2017</v>
      </c>
      <c r="B123" s="37" t="s">
        <v>259</v>
      </c>
      <c r="C123" s="38" t="n">
        <v>25152.85</v>
      </c>
      <c r="D123" s="38" t="n">
        <v>25198.8</v>
      </c>
      <c r="E123" s="38" t="n">
        <v>23822.2</v>
      </c>
      <c r="F123" s="38" t="n">
        <v>24318.4</v>
      </c>
      <c r="G123" s="39" t="n">
        <f aca="false">(F123/C123-1)</f>
        <v>-0.0331751670287859</v>
      </c>
      <c r="H123" s="39" t="n">
        <f aca="false">(D123/E123-1)</f>
        <v>0.0577864345022709</v>
      </c>
      <c r="I123" s="39" t="n">
        <f aca="false">(D123/C123-1)</f>
        <v>0.00182683075675327</v>
      </c>
      <c r="J123" s="39" t="n">
        <f aca="false">(E123/C123-1)</f>
        <v>-0.0529025537861514</v>
      </c>
      <c r="K123" s="37" t="n">
        <v>21</v>
      </c>
    </row>
    <row r="124" customFormat="false" ht="15" hidden="false" customHeight="true" outlineLevel="0" collapsed="false">
      <c r="A124" s="37" t="n">
        <v>2017</v>
      </c>
      <c r="B124" s="37" t="s">
        <v>260</v>
      </c>
      <c r="C124" s="38" t="n">
        <v>24389.2</v>
      </c>
      <c r="D124" s="38" t="n">
        <v>25105.35</v>
      </c>
      <c r="E124" s="38" t="n">
        <v>23611.1</v>
      </c>
      <c r="F124" s="38" t="n">
        <v>24053</v>
      </c>
      <c r="G124" s="39" t="n">
        <f aca="false">(F124/C124-1)</f>
        <v>-0.0137847899890116</v>
      </c>
      <c r="H124" s="39" t="n">
        <f aca="false">(D124/E124-1)</f>
        <v>0.0632859121345468</v>
      </c>
      <c r="I124" s="39" t="n">
        <f aca="false">(D124/C124-1)</f>
        <v>0.0293634067538089</v>
      </c>
      <c r="J124" s="39" t="n">
        <f aca="false">(E124/C124-1)</f>
        <v>-0.0319034654683221</v>
      </c>
      <c r="K124" s="37" t="n">
        <v>21</v>
      </c>
    </row>
    <row r="125" customFormat="false" ht="15" hidden="false" customHeight="true" outlineLevel="0" collapsed="false">
      <c r="A125" s="37" t="n">
        <v>2017</v>
      </c>
      <c r="B125" s="37" t="s">
        <v>261</v>
      </c>
      <c r="C125" s="38" t="n">
        <v>24200.6</v>
      </c>
      <c r="D125" s="38" t="n">
        <v>25186.05</v>
      </c>
      <c r="E125" s="38" t="n">
        <v>23912.55</v>
      </c>
      <c r="F125" s="38" t="n">
        <v>25019.35</v>
      </c>
      <c r="G125" s="39" t="n">
        <f aca="false">(F125/C125-1)</f>
        <v>0.0338318058229961</v>
      </c>
      <c r="H125" s="39" t="n">
        <f aca="false">(D125/E125-1)</f>
        <v>0.0532565535670599</v>
      </c>
      <c r="I125" s="39" t="n">
        <f aca="false">(D125/C125-1)</f>
        <v>0.040720064791782</v>
      </c>
      <c r="J125" s="39" t="n">
        <f aca="false">(E125/C125-1)</f>
        <v>-0.0119025974562614</v>
      </c>
      <c r="K125" s="37" t="n">
        <v>20</v>
      </c>
    </row>
    <row r="126" customFormat="false" ht="15" hidden="false" customHeight="true" outlineLevel="0" collapsed="false">
      <c r="A126" s="37" t="n">
        <v>2017</v>
      </c>
      <c r="B126" s="37" t="s">
        <v>262</v>
      </c>
      <c r="C126" s="38" t="n">
        <v>25197.3</v>
      </c>
      <c r="D126" s="38" t="n">
        <v>25953.5</v>
      </c>
      <c r="E126" s="38" t="n">
        <v>25119.5</v>
      </c>
      <c r="F126" s="38" t="n">
        <v>25332.4</v>
      </c>
      <c r="G126" s="39" t="n">
        <f aca="false">(F126/C126-1)</f>
        <v>0.005361685577423</v>
      </c>
      <c r="H126" s="39" t="n">
        <f aca="false">(D126/E126-1)</f>
        <v>0.0332012977965326</v>
      </c>
      <c r="I126" s="39" t="n">
        <f aca="false">(D126/C126-1)</f>
        <v>0.0300111519885067</v>
      </c>
      <c r="J126" s="39" t="n">
        <f aca="false">(E126/C126-1)</f>
        <v>-0.00308763240505927</v>
      </c>
      <c r="K126" s="37" t="n">
        <v>22</v>
      </c>
    </row>
    <row r="127" customFormat="false" ht="15" hidden="false" customHeight="true" outlineLevel="0" collapsed="false">
      <c r="A127" s="37" t="n">
        <v>2017</v>
      </c>
      <c r="B127" s="37" t="s">
        <v>263</v>
      </c>
      <c r="C127" s="38" t="n">
        <v>25409.55</v>
      </c>
      <c r="D127" s="38" t="n">
        <v>25780.05</v>
      </c>
      <c r="E127" s="38" t="n">
        <v>24617.15</v>
      </c>
      <c r="F127" s="38" t="n">
        <v>25539.45</v>
      </c>
      <c r="G127" s="39" t="n">
        <f aca="false">(F127/C127-1)</f>
        <v>0.00511225110243996</v>
      </c>
      <c r="H127" s="39" t="n">
        <f aca="false">(D127/E127-1)</f>
        <v>0.0472394245475207</v>
      </c>
      <c r="I127" s="39" t="n">
        <f aca="false">(D127/C127-1)</f>
        <v>0.0145811318972591</v>
      </c>
      <c r="J127" s="39" t="n">
        <f aca="false">(E127/C127-1)</f>
        <v>-0.0311851252777007</v>
      </c>
      <c r="K127" s="37" t="n">
        <v>20</v>
      </c>
    </row>
    <row r="128" customFormat="false" ht="15" hidden="false" customHeight="true" outlineLevel="0" collapsed="false">
      <c r="A128" s="40" t="n">
        <v>2018</v>
      </c>
      <c r="B128" s="40" t="s">
        <v>252</v>
      </c>
      <c r="C128" s="41" t="n">
        <v>25565.75</v>
      </c>
      <c r="D128" s="41" t="n">
        <v>27652.05</v>
      </c>
      <c r="E128" s="41" t="n">
        <v>25232.8</v>
      </c>
      <c r="F128" s="41" t="n">
        <v>27379.45</v>
      </c>
      <c r="G128" s="42" t="n">
        <f aca="false">(F128/C128-1)</f>
        <v>0.0709425696488466</v>
      </c>
      <c r="H128" s="42" t="n">
        <f aca="false">(D128/E128-1)</f>
        <v>0.0958771915918963</v>
      </c>
      <c r="I128" s="42" t="n">
        <f aca="false">(D128/C128-1)</f>
        <v>0.0816052726792682</v>
      </c>
      <c r="J128" s="42" t="n">
        <f aca="false">(E128/C128-1)</f>
        <v>-0.0130232831033708</v>
      </c>
      <c r="K128" s="40" t="n">
        <v>22</v>
      </c>
    </row>
    <row r="129" customFormat="false" ht="15" hidden="false" customHeight="true" outlineLevel="0" collapsed="false">
      <c r="A129" s="40" t="n">
        <v>2018</v>
      </c>
      <c r="B129" s="40" t="s">
        <v>253</v>
      </c>
      <c r="C129" s="41" t="n">
        <v>27334.85</v>
      </c>
      <c r="D129" s="41" t="n">
        <v>27613.5</v>
      </c>
      <c r="E129" s="41" t="n">
        <v>24781.7</v>
      </c>
      <c r="F129" s="41" t="n">
        <v>25107.4</v>
      </c>
      <c r="G129" s="42" t="n">
        <f aca="false">(F129/C129-1)</f>
        <v>-0.0814875516053681</v>
      </c>
      <c r="H129" s="42" t="n">
        <f aca="false">(D129/E129-1)</f>
        <v>0.114269803927898</v>
      </c>
      <c r="I129" s="42" t="n">
        <f aca="false">(D129/C129-1)</f>
        <v>0.0101939465554046</v>
      </c>
      <c r="J129" s="42" t="n">
        <f aca="false">(E129/C129-1)</f>
        <v>-0.0934027441160277</v>
      </c>
      <c r="K129" s="40" t="n">
        <v>19</v>
      </c>
    </row>
    <row r="130" customFormat="false" ht="15" hidden="false" customHeight="true" outlineLevel="0" collapsed="false">
      <c r="A130" s="40" t="n">
        <v>2018</v>
      </c>
      <c r="B130" s="40" t="s">
        <v>254</v>
      </c>
      <c r="C130" s="41" t="n">
        <v>25022.35</v>
      </c>
      <c r="D130" s="41" t="n">
        <v>25226.05</v>
      </c>
      <c r="E130" s="41" t="n">
        <v>23605.6</v>
      </c>
      <c r="F130" s="41" t="n">
        <v>24263.35</v>
      </c>
      <c r="G130" s="42" t="n">
        <f aca="false">(F130/C130-1)</f>
        <v>-0.0303328824031316</v>
      </c>
      <c r="H130" s="42" t="n">
        <f aca="false">(D130/E130-1)</f>
        <v>0.0686468465109975</v>
      </c>
      <c r="I130" s="42" t="n">
        <f aca="false">(D130/C130-1)</f>
        <v>0.00814072219435835</v>
      </c>
      <c r="J130" s="42" t="n">
        <f aca="false">(E130/C130-1)</f>
        <v>-0.0566193822722486</v>
      </c>
      <c r="K130" s="40" t="n">
        <v>19</v>
      </c>
    </row>
    <row r="131" customFormat="false" ht="15" hidden="false" customHeight="true" outlineLevel="0" collapsed="false">
      <c r="A131" s="40" t="n">
        <v>2018</v>
      </c>
      <c r="B131" s="40" t="s">
        <v>255</v>
      </c>
      <c r="C131" s="41" t="n">
        <v>24235.65</v>
      </c>
      <c r="D131" s="41" t="n">
        <v>25617.5</v>
      </c>
      <c r="E131" s="41" t="n">
        <v>24062.95</v>
      </c>
      <c r="F131" s="41" t="n">
        <v>25531.6</v>
      </c>
      <c r="G131" s="42" t="n">
        <f aca="false">(F131/C131-1)</f>
        <v>0.0534728798278568</v>
      </c>
      <c r="H131" s="42" t="n">
        <f aca="false">(D131/E131-1)</f>
        <v>0.0646034671559388</v>
      </c>
      <c r="I131" s="42" t="n">
        <f aca="false">(D131/C131-1)</f>
        <v>0.0570172452564712</v>
      </c>
      <c r="J131" s="42" t="n">
        <f aca="false">(E131/C131-1)</f>
        <v>-0.00712586623424583</v>
      </c>
      <c r="K131" s="40" t="n">
        <v>21</v>
      </c>
    </row>
    <row r="132" customFormat="false" ht="15" hidden="false" customHeight="true" outlineLevel="0" collapsed="false">
      <c r="A132" s="40" t="n">
        <v>2018</v>
      </c>
      <c r="B132" s="40" t="s">
        <v>256</v>
      </c>
      <c r="C132" s="41" t="n">
        <v>25607.05</v>
      </c>
      <c r="D132" s="41" t="n">
        <v>27164.55</v>
      </c>
      <c r="E132" s="41" t="n">
        <v>25469.05</v>
      </c>
      <c r="F132" s="41" t="n">
        <v>26956.2</v>
      </c>
      <c r="G132" s="42" t="n">
        <f aca="false">(F132/C132-1)</f>
        <v>0.0526866624620954</v>
      </c>
      <c r="H132" s="42" t="n">
        <f aca="false">(D132/E132-1)</f>
        <v>0.0665709949919608</v>
      </c>
      <c r="I132" s="42" t="n">
        <f aca="false">(D132/C132-1)</f>
        <v>0.0608230936402281</v>
      </c>
      <c r="J132" s="42" t="n">
        <f aca="false">(E132/C132-1)</f>
        <v>-0.00538914088112452</v>
      </c>
      <c r="K132" s="40" t="n">
        <v>22</v>
      </c>
    </row>
    <row r="133" customFormat="false" ht="15" hidden="false" customHeight="true" outlineLevel="0" collapsed="false">
      <c r="A133" s="40" t="n">
        <v>2018</v>
      </c>
      <c r="B133" s="40" t="s">
        <v>257</v>
      </c>
      <c r="C133" s="41" t="n">
        <v>26913.4</v>
      </c>
      <c r="D133" s="41" t="n">
        <v>27047.55</v>
      </c>
      <c r="E133" s="41" t="n">
        <v>26069.55</v>
      </c>
      <c r="F133" s="41" t="n">
        <v>26364.2</v>
      </c>
      <c r="G133" s="42" t="n">
        <f aca="false">(F133/C133-1)</f>
        <v>-0.0204061917111922</v>
      </c>
      <c r="H133" s="42" t="n">
        <f aca="false">(D133/E133-1)</f>
        <v>0.0375150319050386</v>
      </c>
      <c r="I133" s="42" t="n">
        <f aca="false">(D133/C133-1)</f>
        <v>0.00498450585953458</v>
      </c>
      <c r="J133" s="42" t="n">
        <f aca="false">(E133/C133-1)</f>
        <v>-0.0313542696203379</v>
      </c>
      <c r="K133" s="40" t="n">
        <v>21</v>
      </c>
    </row>
    <row r="134" customFormat="false" ht="15" hidden="false" customHeight="true" outlineLevel="0" collapsed="false">
      <c r="A134" s="40" t="n">
        <v>2018</v>
      </c>
      <c r="B134" s="40" t="s">
        <v>258</v>
      </c>
      <c r="C134" s="41" t="n">
        <v>26364.45</v>
      </c>
      <c r="D134" s="41" t="n">
        <v>27873.7</v>
      </c>
      <c r="E134" s="41" t="n">
        <v>26060.6</v>
      </c>
      <c r="F134" s="41" t="n">
        <v>27764.15</v>
      </c>
      <c r="G134" s="42" t="n">
        <f aca="false">(F134/C134-1)</f>
        <v>0.0530904304849902</v>
      </c>
      <c r="H134" s="42" t="n">
        <f aca="false">(D134/E134-1)</f>
        <v>0.0695724580401067</v>
      </c>
      <c r="I134" s="42" t="n">
        <f aca="false">(D134/C134-1)</f>
        <v>0.0572456470739955</v>
      </c>
      <c r="J134" s="42" t="n">
        <f aca="false">(E134/C134-1)</f>
        <v>-0.0115249891425765</v>
      </c>
      <c r="K134" s="40" t="n">
        <v>22</v>
      </c>
    </row>
    <row r="135" customFormat="false" ht="15" hidden="false" customHeight="true" outlineLevel="0" collapsed="false">
      <c r="A135" s="40" t="n">
        <v>2018</v>
      </c>
      <c r="B135" s="40" t="s">
        <v>259</v>
      </c>
      <c r="C135" s="41" t="n">
        <v>27684.8</v>
      </c>
      <c r="D135" s="41" t="n">
        <v>28388.65</v>
      </c>
      <c r="E135" s="41" t="n">
        <v>27327.95</v>
      </c>
      <c r="F135" s="41" t="n">
        <v>28061.75</v>
      </c>
      <c r="G135" s="42" t="n">
        <f aca="false">(F135/C135-1)</f>
        <v>0.0136157747211467</v>
      </c>
      <c r="H135" s="42" t="n">
        <f aca="false">(D135/E135-1)</f>
        <v>0.0388137419747914</v>
      </c>
      <c r="I135" s="42" t="n">
        <f aca="false">(D135/C135-1)</f>
        <v>0.0254236982026239</v>
      </c>
      <c r="J135" s="42" t="n">
        <f aca="false">(E135/C135-1)</f>
        <v>-0.0128897445529677</v>
      </c>
      <c r="K135" s="40" t="n">
        <v>21</v>
      </c>
    </row>
    <row r="136" customFormat="false" ht="15" hidden="false" customHeight="true" outlineLevel="0" collapsed="false">
      <c r="A136" s="40" t="n">
        <v>2018</v>
      </c>
      <c r="B136" s="40" t="s">
        <v>260</v>
      </c>
      <c r="C136" s="41" t="n">
        <v>28199.45</v>
      </c>
      <c r="D136" s="41" t="n">
        <v>28203.2</v>
      </c>
      <c r="E136" s="41" t="n">
        <v>24678.25</v>
      </c>
      <c r="F136" s="41" t="n">
        <v>25119.85</v>
      </c>
      <c r="G136" s="42" t="n">
        <f aca="false">(F136/C136-1)</f>
        <v>-0.109207803698299</v>
      </c>
      <c r="H136" s="42" t="n">
        <f aca="false">(D136/E136-1)</f>
        <v>0.142836303222473</v>
      </c>
      <c r="I136" s="42" t="n">
        <f aca="false">(D136/C136-1)</f>
        <v>0.000132981317011449</v>
      </c>
      <c r="J136" s="42" t="n">
        <f aca="false">(E136/C136-1)</f>
        <v>-0.124867683589574</v>
      </c>
      <c r="K136" s="40" t="n">
        <v>18</v>
      </c>
    </row>
    <row r="137" customFormat="false" ht="15" hidden="false" customHeight="true" outlineLevel="0" collapsed="false">
      <c r="A137" s="40" t="n">
        <v>2018</v>
      </c>
      <c r="B137" s="40" t="s">
        <v>261</v>
      </c>
      <c r="C137" s="41" t="n">
        <v>24943.9</v>
      </c>
      <c r="D137" s="41" t="n">
        <v>25915.35</v>
      </c>
      <c r="E137" s="41" t="n">
        <v>24240.05</v>
      </c>
      <c r="F137" s="41" t="n">
        <v>25153.25</v>
      </c>
      <c r="G137" s="42" t="n">
        <f aca="false">(F137/C137-1)</f>
        <v>0.00839283351841536</v>
      </c>
      <c r="H137" s="42" t="n">
        <f aca="false">(D137/E137-1)</f>
        <v>0.0691128937440311</v>
      </c>
      <c r="I137" s="42" t="n">
        <f aca="false">(D137/C137-1)</f>
        <v>0.0389453934629307</v>
      </c>
      <c r="J137" s="42" t="n">
        <f aca="false">(E137/C137-1)</f>
        <v>-0.028217319665329</v>
      </c>
      <c r="K137" s="40" t="n">
        <v>21</v>
      </c>
    </row>
    <row r="138" customFormat="false" ht="15" hidden="false" customHeight="true" outlineLevel="0" collapsed="false">
      <c r="A138" s="40" t="n">
        <v>2018</v>
      </c>
      <c r="B138" s="40" t="s">
        <v>262</v>
      </c>
      <c r="C138" s="41" t="n">
        <v>25285.2</v>
      </c>
      <c r="D138" s="41" t="n">
        <v>27012.7</v>
      </c>
      <c r="E138" s="41" t="n">
        <v>25129.45</v>
      </c>
      <c r="F138" s="41" t="n">
        <v>26862.95</v>
      </c>
      <c r="G138" s="42" t="n">
        <f aca="false">(F138/C138-1)</f>
        <v>0.0623981617705218</v>
      </c>
      <c r="H138" s="42" t="n">
        <f aca="false">(D138/E138-1)</f>
        <v>0.0749419505798974</v>
      </c>
      <c r="I138" s="42" t="n">
        <f aca="false">(D138/C138-1)</f>
        <v>0.0683205986110451</v>
      </c>
      <c r="J138" s="42" t="n">
        <f aca="false">(E138/C138-1)</f>
        <v>-0.00615972980241408</v>
      </c>
      <c r="K138" s="40" t="n">
        <v>20</v>
      </c>
    </row>
    <row r="139" customFormat="false" ht="15" hidden="false" customHeight="true" outlineLevel="0" collapsed="false">
      <c r="A139" s="40" t="n">
        <v>2018</v>
      </c>
      <c r="B139" s="40" t="s">
        <v>263</v>
      </c>
      <c r="C139" s="41" t="n">
        <v>27032.9</v>
      </c>
      <c r="D139" s="41" t="n">
        <v>27369.1</v>
      </c>
      <c r="E139" s="41" t="n">
        <v>25598.95</v>
      </c>
      <c r="F139" s="41" t="n">
        <v>27160.2</v>
      </c>
      <c r="G139" s="42" t="n">
        <f aca="false">(F139/C139-1)</f>
        <v>0.00470907671762921</v>
      </c>
      <c r="H139" s="42" t="n">
        <f aca="false">(D139/E139-1)</f>
        <v>0.0691493205776017</v>
      </c>
      <c r="I139" s="42" t="n">
        <f aca="false">(D139/C139-1)</f>
        <v>0.0124366975056318</v>
      </c>
      <c r="J139" s="42" t="n">
        <f aca="false">(E139/C139-1)</f>
        <v>-0.0530446234033345</v>
      </c>
      <c r="K139" s="40" t="n">
        <v>20</v>
      </c>
    </row>
    <row r="140" customFormat="false" ht="15" hidden="false" customHeight="true" outlineLevel="0" collapsed="false">
      <c r="A140" s="37" t="n">
        <v>2019</v>
      </c>
      <c r="B140" s="37" t="s">
        <v>252</v>
      </c>
      <c r="C140" s="38" t="n">
        <v>27231.4</v>
      </c>
      <c r="D140" s="38" t="n">
        <v>27754.45</v>
      </c>
      <c r="E140" s="38" t="n">
        <v>26441.55</v>
      </c>
      <c r="F140" s="38" t="n">
        <v>27295.45</v>
      </c>
      <c r="G140" s="39" t="n">
        <f aca="false">(F140/C140-1)</f>
        <v>0.00235206416122558</v>
      </c>
      <c r="H140" s="39" t="n">
        <f aca="false">(D140/E140-1)</f>
        <v>0.0496529136907633</v>
      </c>
      <c r="I140" s="39" t="n">
        <f aca="false">(D140/C140-1)</f>
        <v>0.0192076059255124</v>
      </c>
      <c r="J140" s="39" t="n">
        <f aca="false">(E140/C140-1)</f>
        <v>-0.0290051190904618</v>
      </c>
      <c r="K140" s="37" t="n">
        <v>23</v>
      </c>
    </row>
    <row r="141" customFormat="false" ht="15" hidden="false" customHeight="true" outlineLevel="0" collapsed="false">
      <c r="A141" s="37" t="n">
        <v>2019</v>
      </c>
      <c r="B141" s="37" t="s">
        <v>253</v>
      </c>
      <c r="C141" s="38" t="n">
        <v>27334.55</v>
      </c>
      <c r="D141" s="38" t="n">
        <v>27589.75</v>
      </c>
      <c r="E141" s="38" t="n">
        <v>26617.7</v>
      </c>
      <c r="F141" s="38" t="n">
        <v>26789.9</v>
      </c>
      <c r="G141" s="39" t="n">
        <f aca="false">(F141/C141-1)</f>
        <v>-0.0199253325919029</v>
      </c>
      <c r="H141" s="39" t="n">
        <f aca="false">(D141/E141-1)</f>
        <v>0.0365189328905202</v>
      </c>
      <c r="I141" s="39" t="n">
        <f aca="false">(D141/C141-1)</f>
        <v>0.00933616979244212</v>
      </c>
      <c r="J141" s="39" t="n">
        <f aca="false">(E141/C141-1)</f>
        <v>-0.0262250521775554</v>
      </c>
      <c r="K141" s="37" t="n">
        <v>19</v>
      </c>
    </row>
    <row r="142" customFormat="false" ht="15" hidden="false" customHeight="true" outlineLevel="0" collapsed="false">
      <c r="A142" s="37" t="n">
        <v>2019</v>
      </c>
      <c r="B142" s="37" t="s">
        <v>254</v>
      </c>
      <c r="C142" s="38" t="n">
        <v>26941</v>
      </c>
      <c r="D142" s="38" t="n">
        <v>30496.05</v>
      </c>
      <c r="E142" s="38" t="n">
        <v>26928.9</v>
      </c>
      <c r="F142" s="38" t="n">
        <v>30420.55</v>
      </c>
      <c r="G142" s="39" t="n">
        <f aca="false">(F142/C142-1)</f>
        <v>0.129154448609925</v>
      </c>
      <c r="H142" s="39" t="n">
        <f aca="false">(D142/E142-1)</f>
        <v>0.132465492463487</v>
      </c>
      <c r="I142" s="39" t="n">
        <f aca="false">(D142/C142-1)</f>
        <v>0.131956868713114</v>
      </c>
      <c r="J142" s="39" t="n">
        <f aca="false">(E142/C142-1)</f>
        <v>-0.000449129579451313</v>
      </c>
      <c r="K142" s="37" t="n">
        <v>18</v>
      </c>
    </row>
    <row r="143" customFormat="false" ht="15" hidden="false" customHeight="true" outlineLevel="0" collapsed="false">
      <c r="A143" s="37" t="n">
        <v>2019</v>
      </c>
      <c r="B143" s="37" t="s">
        <v>255</v>
      </c>
      <c r="C143" s="38" t="n">
        <v>30537.6</v>
      </c>
      <c r="D143" s="38" t="n">
        <v>30669.8</v>
      </c>
      <c r="E143" s="38" t="n">
        <v>29435.05</v>
      </c>
      <c r="F143" s="38" t="n">
        <v>29764.8</v>
      </c>
      <c r="G143" s="39" t="n">
        <f aca="false">(F143/C143-1)</f>
        <v>-0.025306507387614</v>
      </c>
      <c r="H143" s="39" t="n">
        <f aca="false">(D143/E143-1)</f>
        <v>0.0419482895391718</v>
      </c>
      <c r="I143" s="39" t="n">
        <f aca="false">(D143/C143-1)</f>
        <v>0.00432908938488952</v>
      </c>
      <c r="J143" s="39" t="n">
        <f aca="false">(E143/C143-1)</f>
        <v>-0.0361046709630095</v>
      </c>
      <c r="K143" s="37" t="n">
        <v>19</v>
      </c>
    </row>
    <row r="144" customFormat="false" ht="15" hidden="false" customHeight="true" outlineLevel="0" collapsed="false">
      <c r="A144" s="37" t="n">
        <v>2019</v>
      </c>
      <c r="B144" s="37" t="s">
        <v>256</v>
      </c>
      <c r="C144" s="38" t="n">
        <v>29699.8</v>
      </c>
      <c r="D144" s="38" t="n">
        <v>31783.6</v>
      </c>
      <c r="E144" s="38" t="n">
        <v>28525.45</v>
      </c>
      <c r="F144" s="38" t="n">
        <v>31375.4</v>
      </c>
      <c r="G144" s="39" t="n">
        <f aca="false">(F144/C144-1)</f>
        <v>0.0564178883359485</v>
      </c>
      <c r="H144" s="39" t="n">
        <f aca="false">(D144/E144-1)</f>
        <v>0.114219057017505</v>
      </c>
      <c r="I144" s="39" t="n">
        <f aca="false">(D144/C144-1)</f>
        <v>0.0701620886335934</v>
      </c>
      <c r="J144" s="39" t="n">
        <f aca="false">(E144/C144-1)</f>
        <v>-0.0395406703075442</v>
      </c>
      <c r="K144" s="37" t="n">
        <v>22</v>
      </c>
    </row>
    <row r="145" customFormat="false" ht="15" hidden="false" customHeight="true" outlineLevel="0" collapsed="false">
      <c r="A145" s="37" t="n">
        <v>2019</v>
      </c>
      <c r="B145" s="37" t="s">
        <v>257</v>
      </c>
      <c r="C145" s="38" t="n">
        <v>31406.05</v>
      </c>
      <c r="D145" s="38" t="n">
        <v>31752.7</v>
      </c>
      <c r="E145" s="38" t="n">
        <v>30220.7</v>
      </c>
      <c r="F145" s="38" t="n">
        <v>31105.2</v>
      </c>
      <c r="G145" s="39" t="n">
        <f aca="false">(F145/C145-1)</f>
        <v>-0.00957936448550512</v>
      </c>
      <c r="H145" s="39" t="n">
        <f aca="false">(D145/E145-1)</f>
        <v>0.0506937297944787</v>
      </c>
      <c r="I145" s="39" t="n">
        <f aca="false">(D145/C145-1)</f>
        <v>0.0110376822300162</v>
      </c>
      <c r="J145" s="39" t="n">
        <f aca="false">(E145/C145-1)</f>
        <v>-0.0377427279138891</v>
      </c>
      <c r="K145" s="37" t="n">
        <v>19</v>
      </c>
    </row>
    <row r="146" customFormat="false" ht="15" hidden="false" customHeight="true" outlineLevel="0" collapsed="false">
      <c r="A146" s="37" t="n">
        <v>2019</v>
      </c>
      <c r="B146" s="37" t="s">
        <v>258</v>
      </c>
      <c r="C146" s="38" t="n">
        <v>31271</v>
      </c>
      <c r="D146" s="38" t="n">
        <v>31660.75</v>
      </c>
      <c r="E146" s="38" t="n">
        <v>28529.75</v>
      </c>
      <c r="F146" s="38" t="n">
        <v>28876</v>
      </c>
      <c r="G146" s="39" t="n">
        <f aca="false">(F146/C146-1)</f>
        <v>-0.0765885325061558</v>
      </c>
      <c r="H146" s="39" t="n">
        <f aca="false">(D146/E146-1)</f>
        <v>0.109745090650987</v>
      </c>
      <c r="I146" s="39" t="n">
        <f aca="false">(D146/C146-1)</f>
        <v>0.0124636244443734</v>
      </c>
      <c r="J146" s="39" t="n">
        <f aca="false">(E146/C146-1)</f>
        <v>-0.0876610917463465</v>
      </c>
      <c r="K146" s="37" t="n">
        <v>23</v>
      </c>
    </row>
    <row r="147" customFormat="false" ht="15" hidden="false" customHeight="true" outlineLevel="0" collapsed="false">
      <c r="A147" s="37" t="n">
        <v>2019</v>
      </c>
      <c r="B147" s="37" t="s">
        <v>259</v>
      </c>
      <c r="C147" s="38" t="n">
        <v>28660.5</v>
      </c>
      <c r="D147" s="38" t="n">
        <v>28819.7</v>
      </c>
      <c r="E147" s="38" t="n">
        <v>26560.6</v>
      </c>
      <c r="F147" s="38" t="n">
        <v>27427.85</v>
      </c>
      <c r="G147" s="39" t="n">
        <f aca="false">(F147/C147-1)</f>
        <v>-0.0430086704698104</v>
      </c>
      <c r="H147" s="39" t="n">
        <f aca="false">(D147/E147-1)</f>
        <v>0.0850545544904859</v>
      </c>
      <c r="I147" s="39" t="n">
        <f aca="false">(D147/C147-1)</f>
        <v>0.0055546832748905</v>
      </c>
      <c r="J147" s="39" t="n">
        <f aca="false">(E147/C147-1)</f>
        <v>-0.0732680867395894</v>
      </c>
      <c r="K147" s="37" t="n">
        <v>20</v>
      </c>
    </row>
    <row r="148" customFormat="false" ht="15" hidden="false" customHeight="true" outlineLevel="0" collapsed="false">
      <c r="A148" s="37" t="n">
        <v>2019</v>
      </c>
      <c r="B148" s="37" t="s">
        <v>260</v>
      </c>
      <c r="C148" s="38" t="n">
        <v>27239.2</v>
      </c>
      <c r="D148" s="38" t="n">
        <v>30801.3</v>
      </c>
      <c r="E148" s="38" t="n">
        <v>26641.35</v>
      </c>
      <c r="F148" s="38" t="n">
        <v>29103.15</v>
      </c>
      <c r="G148" s="39" t="n">
        <f aca="false">(F148/C148-1)</f>
        <v>0.0684289553290847</v>
      </c>
      <c r="H148" s="39" t="n">
        <f aca="false">(D148/E148-1)</f>
        <v>0.156146366456655</v>
      </c>
      <c r="I148" s="39" t="n">
        <f aca="false">(D148/C148-1)</f>
        <v>0.13077109459896</v>
      </c>
      <c r="J148" s="39" t="n">
        <f aca="false">(E148/C148-1)</f>
        <v>-0.0219481482569239</v>
      </c>
      <c r="K148" s="37" t="n">
        <v>19</v>
      </c>
    </row>
    <row r="149" customFormat="false" ht="15" hidden="false" customHeight="true" outlineLevel="0" collapsed="false">
      <c r="A149" s="37" t="n">
        <v>2019</v>
      </c>
      <c r="B149" s="37" t="s">
        <v>261</v>
      </c>
      <c r="C149" s="38" t="n">
        <v>29226.15</v>
      </c>
      <c r="D149" s="38" t="n">
        <v>30415.65</v>
      </c>
      <c r="E149" s="38" t="n">
        <v>27568.35</v>
      </c>
      <c r="F149" s="38" t="n">
        <v>30066.25</v>
      </c>
      <c r="G149" s="39" t="n">
        <f aca="false">(F149/C149-1)</f>
        <v>0.0287448055936208</v>
      </c>
      <c r="H149" s="39" t="n">
        <f aca="false">(D149/E149-1)</f>
        <v>0.103281480393277</v>
      </c>
      <c r="I149" s="39" t="n">
        <f aca="false">(D149/C149-1)</f>
        <v>0.040699852700407</v>
      </c>
      <c r="J149" s="39" t="n">
        <f aca="false">(E149/C149-1)</f>
        <v>-0.0567231742805673</v>
      </c>
      <c r="K149" s="37" t="n">
        <v>19</v>
      </c>
    </row>
    <row r="150" customFormat="false" ht="15" hidden="false" customHeight="true" outlineLevel="0" collapsed="false">
      <c r="A150" s="37" t="n">
        <v>2019</v>
      </c>
      <c r="B150" s="37" t="s">
        <v>262</v>
      </c>
      <c r="C150" s="38" t="n">
        <v>30196.15</v>
      </c>
      <c r="D150" s="38" t="n">
        <v>32157.05</v>
      </c>
      <c r="E150" s="38" t="n">
        <v>30013.65</v>
      </c>
      <c r="F150" s="38" t="n">
        <v>31946.1</v>
      </c>
      <c r="G150" s="39" t="n">
        <f aca="false">(F150/C150-1)</f>
        <v>0.0579527522548404</v>
      </c>
      <c r="H150" s="39" t="n">
        <f aca="false">(D150/E150-1)</f>
        <v>0.0714141732178524</v>
      </c>
      <c r="I150" s="39" t="n">
        <f aca="false">(D150/C150-1)</f>
        <v>0.0649387421906433</v>
      </c>
      <c r="J150" s="39" t="n">
        <f aca="false">(E150/C150-1)</f>
        <v>-0.0060438168442003</v>
      </c>
      <c r="K150" s="37" t="n">
        <v>20</v>
      </c>
    </row>
    <row r="151" customFormat="false" ht="15" hidden="false" customHeight="true" outlineLevel="0" collapsed="false">
      <c r="A151" s="37" t="n">
        <v>2019</v>
      </c>
      <c r="B151" s="37" t="s">
        <v>263</v>
      </c>
      <c r="C151" s="38" t="n">
        <v>32008.3</v>
      </c>
      <c r="D151" s="38" t="n">
        <v>32613.1</v>
      </c>
      <c r="E151" s="38" t="n">
        <v>30996.4</v>
      </c>
      <c r="F151" s="38" t="n">
        <v>32161.65</v>
      </c>
      <c r="G151" s="39" t="n">
        <f aca="false">(F151/C151-1)</f>
        <v>0.00479094484868003</v>
      </c>
      <c r="H151" s="39" t="n">
        <f aca="false">(D151/E151-1)</f>
        <v>0.0521576699229587</v>
      </c>
      <c r="I151" s="39" t="n">
        <f aca="false">(D151/C151-1)</f>
        <v>0.0188950990836752</v>
      </c>
      <c r="J151" s="39" t="n">
        <f aca="false">(E151/C151-1)</f>
        <v>-0.0316136752029942</v>
      </c>
      <c r="K151" s="37" t="n">
        <v>21</v>
      </c>
    </row>
    <row r="152" customFormat="false" ht="15" hidden="false" customHeight="true" outlineLevel="0" collapsed="false">
      <c r="A152" s="40" t="n">
        <v>2020</v>
      </c>
      <c r="B152" s="40" t="s">
        <v>252</v>
      </c>
      <c r="C152" s="41" t="n">
        <v>32237.9</v>
      </c>
      <c r="D152" s="41" t="n">
        <v>32465.45</v>
      </c>
      <c r="E152" s="41" t="n">
        <v>30521.3</v>
      </c>
      <c r="F152" s="41" t="n">
        <v>30833.6</v>
      </c>
      <c r="G152" s="42" t="n">
        <f aca="false">(F152/C152-1)</f>
        <v>-0.0435605296871076</v>
      </c>
      <c r="H152" s="42" t="n">
        <f aca="false">(D152/E152-1)</f>
        <v>0.063698138676924</v>
      </c>
      <c r="I152" s="42" t="n">
        <f aca="false">(D152/C152-1)</f>
        <v>0.00705846224474915</v>
      </c>
      <c r="J152" s="42" t="n">
        <f aca="false">(E152/C152-1)</f>
        <v>-0.0532478852530718</v>
      </c>
      <c r="K152" s="40" t="n">
        <v>23</v>
      </c>
    </row>
    <row r="153" customFormat="false" ht="15" hidden="false" customHeight="true" outlineLevel="0" collapsed="false">
      <c r="A153" s="40" t="n">
        <v>2020</v>
      </c>
      <c r="B153" s="40" t="s">
        <v>253</v>
      </c>
      <c r="C153" s="41" t="n">
        <v>29811.75</v>
      </c>
      <c r="D153" s="41" t="n">
        <v>31649.45</v>
      </c>
      <c r="E153" s="41" t="n">
        <v>29051.5</v>
      </c>
      <c r="F153" s="41" t="n">
        <v>29147.15</v>
      </c>
      <c r="G153" s="42" t="n">
        <f aca="false">(F153/C153-1)</f>
        <v>-0.022293223309601</v>
      </c>
      <c r="H153" s="42" t="n">
        <f aca="false">(D153/E153-1)</f>
        <v>0.0894256750942293</v>
      </c>
      <c r="I153" s="42" t="n">
        <f aca="false">(D153/C153-1)</f>
        <v>0.0616434795005325</v>
      </c>
      <c r="J153" s="42" t="n">
        <f aca="false">(E153/C153-1)</f>
        <v>-0.0255016897699732</v>
      </c>
      <c r="K153" s="40" t="n">
        <v>19</v>
      </c>
    </row>
    <row r="154" customFormat="false" ht="15" hidden="false" customHeight="true" outlineLevel="0" collapsed="false">
      <c r="A154" s="40" t="n">
        <v>2020</v>
      </c>
      <c r="B154" s="40" t="s">
        <v>254</v>
      </c>
      <c r="C154" s="41" t="n">
        <v>29701</v>
      </c>
      <c r="D154" s="41" t="n">
        <v>29791.15</v>
      </c>
      <c r="E154" s="41" t="n">
        <v>16116.25</v>
      </c>
      <c r="F154" s="41" t="n">
        <v>19144</v>
      </c>
      <c r="G154" s="42" t="n">
        <f aca="false">(F154/C154-1)</f>
        <v>-0.355442577690987</v>
      </c>
      <c r="H154" s="42" t="n">
        <f aca="false">(D154/E154-1)</f>
        <v>0.848516249127434</v>
      </c>
      <c r="I154" s="42" t="n">
        <f aca="false">(D154/C154-1)</f>
        <v>0.00303525133833893</v>
      </c>
      <c r="J154" s="42" t="n">
        <f aca="false">(E154/C154-1)</f>
        <v>-0.457383589778122</v>
      </c>
      <c r="K154" s="40" t="n">
        <v>21</v>
      </c>
    </row>
    <row r="155" customFormat="false" ht="15" hidden="false" customHeight="true" outlineLevel="0" collapsed="false">
      <c r="A155" s="40" t="n">
        <v>2020</v>
      </c>
      <c r="B155" s="40" t="s">
        <v>255</v>
      </c>
      <c r="C155" s="41" t="n">
        <v>19122.4</v>
      </c>
      <c r="D155" s="41" t="n">
        <v>21967</v>
      </c>
      <c r="E155" s="41" t="n">
        <v>17143.2</v>
      </c>
      <c r="F155" s="41" t="n">
        <v>21534.5</v>
      </c>
      <c r="G155" s="42" t="n">
        <f aca="false">(F155/C155-1)</f>
        <v>0.126140024264737</v>
      </c>
      <c r="H155" s="42" t="n">
        <f aca="false">(D155/E155-1)</f>
        <v>0.28138270567922</v>
      </c>
      <c r="I155" s="42" t="n">
        <f aca="false">(D155/C155-1)</f>
        <v>0.148757478140819</v>
      </c>
      <c r="J155" s="42" t="n">
        <f aca="false">(E155/C155-1)</f>
        <v>-0.103501652512237</v>
      </c>
      <c r="K155" s="40" t="n">
        <v>18</v>
      </c>
    </row>
    <row r="156" customFormat="false" ht="15" hidden="false" customHeight="true" outlineLevel="0" collapsed="false">
      <c r="A156" s="40" t="n">
        <v>2020</v>
      </c>
      <c r="B156" s="40" t="s">
        <v>256</v>
      </c>
      <c r="C156" s="41" t="n">
        <v>20514.75</v>
      </c>
      <c r="D156" s="41" t="n">
        <v>20530.45</v>
      </c>
      <c r="E156" s="41" t="n">
        <v>17105</v>
      </c>
      <c r="F156" s="41" t="n">
        <v>19297.25</v>
      </c>
      <c r="G156" s="42" t="n">
        <f aca="false">(F156/C156-1)</f>
        <v>-0.0593475426217721</v>
      </c>
      <c r="H156" s="42" t="n">
        <f aca="false">(D156/E156-1)</f>
        <v>0.200260157848582</v>
      </c>
      <c r="I156" s="42" t="n">
        <f aca="false">(D156/C156-1)</f>
        <v>0.000765303013685381</v>
      </c>
      <c r="J156" s="42" t="n">
        <f aca="false">(E156/C156-1)</f>
        <v>-0.166209678402125</v>
      </c>
      <c r="K156" s="40" t="n">
        <v>19</v>
      </c>
    </row>
    <row r="157" customFormat="false" ht="15" hidden="false" customHeight="true" outlineLevel="0" collapsed="false">
      <c r="A157" s="40" t="n">
        <v>2020</v>
      </c>
      <c r="B157" s="40" t="s">
        <v>257</v>
      </c>
      <c r="C157" s="41" t="n">
        <v>19728.9</v>
      </c>
      <c r="D157" s="41" t="n">
        <v>22479.55</v>
      </c>
      <c r="E157" s="41" t="n">
        <v>19507.05</v>
      </c>
      <c r="F157" s="41" t="n">
        <v>21370.15</v>
      </c>
      <c r="G157" s="42" t="n">
        <f aca="false">(F157/C157-1)</f>
        <v>0.0831901423799604</v>
      </c>
      <c r="H157" s="42" t="n">
        <f aca="false">(D157/E157-1)</f>
        <v>0.152380805913759</v>
      </c>
      <c r="I157" s="42" t="n">
        <f aca="false">(D157/C157-1)</f>
        <v>0.139422370228447</v>
      </c>
      <c r="J157" s="42" t="n">
        <f aca="false">(E157/C157-1)</f>
        <v>-0.0112449249578032</v>
      </c>
      <c r="K157" s="40" t="n">
        <v>22</v>
      </c>
    </row>
    <row r="158" customFormat="false" ht="15" hidden="false" customHeight="true" outlineLevel="0" collapsed="false">
      <c r="A158" s="40" t="n">
        <v>2020</v>
      </c>
      <c r="B158" s="40" t="s">
        <v>258</v>
      </c>
      <c r="C158" s="41" t="n">
        <v>21354.1</v>
      </c>
      <c r="D158" s="41" t="n">
        <v>23211.35</v>
      </c>
      <c r="E158" s="41" t="n">
        <v>21027.85</v>
      </c>
      <c r="F158" s="41" t="n">
        <v>21640.05</v>
      </c>
      <c r="G158" s="42" t="n">
        <f aca="false">(F158/C158-1)</f>
        <v>0.013390871073939</v>
      </c>
      <c r="H158" s="42" t="n">
        <f aca="false">(D158/E158-1)</f>
        <v>0.103838480871796</v>
      </c>
      <c r="I158" s="42" t="n">
        <f aca="false">(D158/C158-1)</f>
        <v>0.0869739300649524</v>
      </c>
      <c r="J158" s="42" t="n">
        <f aca="false">(E158/C158-1)</f>
        <v>-0.0152780964779597</v>
      </c>
      <c r="K158" s="40" t="n">
        <v>23</v>
      </c>
    </row>
    <row r="159" customFormat="false" ht="15" hidden="false" customHeight="true" outlineLevel="0" collapsed="false">
      <c r="A159" s="40" t="n">
        <v>2020</v>
      </c>
      <c r="B159" s="40" t="s">
        <v>259</v>
      </c>
      <c r="C159" s="41" t="n">
        <v>21543.8</v>
      </c>
      <c r="D159" s="41" t="n">
        <v>25232.6</v>
      </c>
      <c r="E159" s="41" t="n">
        <v>21031.45</v>
      </c>
      <c r="F159" s="41" t="n">
        <v>23754.35</v>
      </c>
      <c r="G159" s="42" t="n">
        <f aca="false">(F159/C159-1)</f>
        <v>0.102607246632442</v>
      </c>
      <c r="H159" s="42" t="n">
        <f aca="false">(D159/E159-1)</f>
        <v>0.199755604107182</v>
      </c>
      <c r="I159" s="42" t="n">
        <f aca="false">(D159/C159-1)</f>
        <v>0.171223275373889</v>
      </c>
      <c r="J159" s="42" t="n">
        <f aca="false">(E159/C159-1)</f>
        <v>-0.0237817840863728</v>
      </c>
      <c r="K159" s="40" t="n">
        <v>21</v>
      </c>
    </row>
    <row r="160" customFormat="false" ht="15" hidden="false" customHeight="true" outlineLevel="0" collapsed="false">
      <c r="A160" s="40" t="n">
        <v>2020</v>
      </c>
      <c r="B160" s="40" t="s">
        <v>260</v>
      </c>
      <c r="C160" s="41" t="n">
        <v>23893.8</v>
      </c>
      <c r="D160" s="41" t="n">
        <v>24199.65</v>
      </c>
      <c r="E160" s="41" t="n">
        <v>20404.9</v>
      </c>
      <c r="F160" s="41" t="n">
        <v>21451.8</v>
      </c>
      <c r="G160" s="42" t="n">
        <f aca="false">(F160/C160-1)</f>
        <v>-0.102202244933832</v>
      </c>
      <c r="H160" s="42" t="n">
        <f aca="false">(D160/E160-1)</f>
        <v>0.185972487000671</v>
      </c>
      <c r="I160" s="42" t="n">
        <f aca="false">(D160/C160-1)</f>
        <v>0.0128003917334205</v>
      </c>
      <c r="J160" s="42" t="n">
        <f aca="false">(E160/C160-1)</f>
        <v>-0.146016958374139</v>
      </c>
      <c r="K160" s="40" t="n">
        <v>22</v>
      </c>
    </row>
    <row r="161" customFormat="false" ht="15" hidden="false" customHeight="true" outlineLevel="0" collapsed="false">
      <c r="A161" s="40" t="n">
        <v>2020</v>
      </c>
      <c r="B161" s="40" t="s">
        <v>261</v>
      </c>
      <c r="C161" s="41" t="n">
        <v>21685.25</v>
      </c>
      <c r="D161" s="41" t="n">
        <v>24823.6</v>
      </c>
      <c r="E161" s="41" t="n">
        <v>21664.15</v>
      </c>
      <c r="F161" s="41" t="n">
        <v>23900.9</v>
      </c>
      <c r="G161" s="42" t="n">
        <f aca="false">(F161/C161-1)</f>
        <v>0.102173136117868</v>
      </c>
      <c r="H161" s="42" t="n">
        <f aca="false">(D161/E161-1)</f>
        <v>0.145837708841565</v>
      </c>
      <c r="I161" s="42" t="n">
        <f aca="false">(D161/C161-1)</f>
        <v>0.144722795448519</v>
      </c>
      <c r="J161" s="42" t="n">
        <f aca="false">(E161/C161-1)</f>
        <v>-0.000973011609273544</v>
      </c>
      <c r="K161" s="40" t="n">
        <v>21</v>
      </c>
    </row>
    <row r="162" customFormat="false" ht="15" hidden="false" customHeight="true" outlineLevel="0" collapsed="false">
      <c r="A162" s="40" t="n">
        <v>2020</v>
      </c>
      <c r="B162" s="40" t="s">
        <v>262</v>
      </c>
      <c r="C162" s="41" t="n">
        <v>24367.6</v>
      </c>
      <c r="D162" s="41" t="n">
        <v>30197.85</v>
      </c>
      <c r="E162" s="41" t="n">
        <v>24120.6</v>
      </c>
      <c r="F162" s="41" t="n">
        <v>29609.05</v>
      </c>
      <c r="G162" s="42" t="n">
        <f aca="false">(F162/C162-1)</f>
        <v>0.215099148049049</v>
      </c>
      <c r="H162" s="42" t="n">
        <f aca="false">(D162/E162-1)</f>
        <v>0.251952687744086</v>
      </c>
      <c r="I162" s="42" t="n">
        <f aca="false">(D162/C162-1)</f>
        <v>0.239262381194701</v>
      </c>
      <c r="J162" s="42" t="n">
        <f aca="false">(E162/C162-1)</f>
        <v>-0.0101364106436416</v>
      </c>
      <c r="K162" s="40" t="n">
        <v>19</v>
      </c>
    </row>
    <row r="163" customFormat="false" ht="15" hidden="false" customHeight="true" outlineLevel="0" collapsed="false">
      <c r="A163" s="40" t="n">
        <v>2020</v>
      </c>
      <c r="B163" s="40" t="s">
        <v>263</v>
      </c>
      <c r="C163" s="41" t="n">
        <v>29844.8</v>
      </c>
      <c r="D163" s="41" t="n">
        <v>31510.25</v>
      </c>
      <c r="E163" s="41" t="n">
        <v>28976.75</v>
      </c>
      <c r="F163" s="41" t="n">
        <v>31264.05</v>
      </c>
      <c r="G163" s="42" t="n">
        <f aca="false">(F163/C163-1)</f>
        <v>0.0475543478260869</v>
      </c>
      <c r="H163" s="42" t="n">
        <f aca="false">(D163/E163-1)</f>
        <v>0.0874321654429844</v>
      </c>
      <c r="I163" s="42" t="n">
        <f aca="false">(D163/C163-1)</f>
        <v>0.0558036910952662</v>
      </c>
      <c r="J163" s="42" t="n">
        <f aca="false">(E163/C163-1)</f>
        <v>-0.02908546882539</v>
      </c>
      <c r="K163" s="40" t="n">
        <v>22</v>
      </c>
    </row>
    <row r="164" customFormat="false" ht="15" hidden="false" customHeight="true" outlineLevel="0" collapsed="false">
      <c r="A164" s="37" t="n">
        <v>2021</v>
      </c>
      <c r="B164" s="37" t="s">
        <v>252</v>
      </c>
      <c r="C164" s="38" t="n">
        <v>31297.3</v>
      </c>
      <c r="D164" s="38" t="n">
        <v>32842.3</v>
      </c>
      <c r="E164" s="38" t="n">
        <v>29687.7</v>
      </c>
      <c r="F164" s="38" t="n">
        <v>30565.5</v>
      </c>
      <c r="G164" s="39" t="n">
        <f aca="false">(F164/C164-1)</f>
        <v>-0.0233822086889284</v>
      </c>
      <c r="H164" s="39" t="n">
        <f aca="false">(D164/E164-1)</f>
        <v>0.106259494672878</v>
      </c>
      <c r="I164" s="39" t="n">
        <f aca="false">(D164/C164-1)</f>
        <v>0.0493652807111158</v>
      </c>
      <c r="J164" s="39" t="n">
        <f aca="false">(E164/C164-1)</f>
        <v>-0.0514293565259623</v>
      </c>
      <c r="K164" s="37" t="n">
        <v>20</v>
      </c>
    </row>
    <row r="165" customFormat="false" ht="15" hidden="false" customHeight="true" outlineLevel="0" collapsed="false">
      <c r="A165" s="37" t="n">
        <v>2021</v>
      </c>
      <c r="B165" s="37" t="s">
        <v>253</v>
      </c>
      <c r="C165" s="38" t="n">
        <v>30976.35</v>
      </c>
      <c r="D165" s="38" t="n">
        <v>37708.75</v>
      </c>
      <c r="E165" s="38" t="n">
        <v>30906.45</v>
      </c>
      <c r="F165" s="38" t="n">
        <v>34803.6</v>
      </c>
      <c r="G165" s="39" t="n">
        <f aca="false">(F165/C165-1)</f>
        <v>0.123553937116542</v>
      </c>
      <c r="H165" s="39" t="n">
        <f aca="false">(D165/E165-1)</f>
        <v>0.220093216788081</v>
      </c>
      <c r="I165" s="39" t="n">
        <f aca="false">(D165/C165-1)</f>
        <v>0.217340002937725</v>
      </c>
      <c r="J165" s="39" t="n">
        <f aca="false">(E165/C165-1)</f>
        <v>-0.00225656024676879</v>
      </c>
      <c r="K165" s="37" t="n">
        <v>20</v>
      </c>
    </row>
    <row r="166" customFormat="false" ht="15" hidden="false" customHeight="true" outlineLevel="0" collapsed="false">
      <c r="A166" s="37" t="n">
        <v>2021</v>
      </c>
      <c r="B166" s="37" t="s">
        <v>254</v>
      </c>
      <c r="C166" s="38" t="n">
        <v>35374.25</v>
      </c>
      <c r="D166" s="38" t="n">
        <v>36497.35</v>
      </c>
      <c r="E166" s="38" t="n">
        <v>32415.25</v>
      </c>
      <c r="F166" s="38" t="n">
        <v>33303.9</v>
      </c>
      <c r="G166" s="39" t="n">
        <f aca="false">(F166/C166-1)</f>
        <v>-0.0585270359088885</v>
      </c>
      <c r="H166" s="39" t="n">
        <f aca="false">(D166/E166-1)</f>
        <v>0.125931467442022</v>
      </c>
      <c r="I166" s="39" t="n">
        <f aca="false">(D166/C166-1)</f>
        <v>0.031749083019428</v>
      </c>
      <c r="J166" s="39" t="n">
        <f aca="false">(E166/C166-1)</f>
        <v>-0.083648416574203</v>
      </c>
      <c r="K166" s="37" t="n">
        <v>21</v>
      </c>
    </row>
    <row r="167" customFormat="false" ht="15" hidden="false" customHeight="true" outlineLevel="0" collapsed="false">
      <c r="A167" s="37" t="n">
        <v>2021</v>
      </c>
      <c r="B167" s="37" t="s">
        <v>255</v>
      </c>
      <c r="C167" s="38" t="n">
        <v>33588</v>
      </c>
      <c r="D167" s="38" t="n">
        <v>34287</v>
      </c>
      <c r="E167" s="38" t="n">
        <v>30405.65</v>
      </c>
      <c r="F167" s="38" t="n">
        <v>32781.8</v>
      </c>
      <c r="G167" s="39" t="n">
        <f aca="false">(F167/C167-1)</f>
        <v>-0.0240026199833273</v>
      </c>
      <c r="H167" s="39" t="n">
        <f aca="false">(D167/E167-1)</f>
        <v>0.127652261997359</v>
      </c>
      <c r="I167" s="39" t="n">
        <f aca="false">(D167/C167-1)</f>
        <v>0.0208110039299749</v>
      </c>
      <c r="J167" s="39" t="n">
        <f aca="false">(E167/C167-1)</f>
        <v>-0.0947466357032273</v>
      </c>
      <c r="K167" s="37" t="n">
        <v>19</v>
      </c>
    </row>
    <row r="168" customFormat="false" ht="15" hidden="false" customHeight="true" outlineLevel="0" collapsed="false">
      <c r="A168" s="37" t="n">
        <v>2021</v>
      </c>
      <c r="B168" s="37" t="s">
        <v>256</v>
      </c>
      <c r="C168" s="38" t="n">
        <v>32368.55</v>
      </c>
      <c r="D168" s="38" t="n">
        <v>35584.3</v>
      </c>
      <c r="E168" s="38" t="n">
        <v>31906.55</v>
      </c>
      <c r="F168" s="38" t="n">
        <v>35526.65</v>
      </c>
      <c r="G168" s="39" t="n">
        <f aca="false">(F168/C168-1)</f>
        <v>0.0975669283919114</v>
      </c>
      <c r="H168" s="39" t="n">
        <f aca="false">(D168/E168-1)</f>
        <v>0.115266301119989</v>
      </c>
      <c r="I168" s="39" t="n">
        <f aca="false">(D168/C168-1)</f>
        <v>0.0993479782072415</v>
      </c>
      <c r="J168" s="39" t="n">
        <f aca="false">(E168/C168-1)</f>
        <v>-0.014273113871335</v>
      </c>
      <c r="K168" s="37" t="n">
        <v>20</v>
      </c>
    </row>
    <row r="169" customFormat="false" ht="15" hidden="false" customHeight="true" outlineLevel="0" collapsed="false">
      <c r="A169" s="37" t="n">
        <v>2021</v>
      </c>
      <c r="B169" s="37" t="s">
        <v>257</v>
      </c>
      <c r="C169" s="38" t="n">
        <v>35639.75</v>
      </c>
      <c r="D169" s="38" t="n">
        <v>35810.9</v>
      </c>
      <c r="E169" s="38" t="n">
        <v>33908.95</v>
      </c>
      <c r="F169" s="38" t="n">
        <v>34772.2</v>
      </c>
      <c r="G169" s="39" t="n">
        <f aca="false">(F169/C169-1)</f>
        <v>-0.0243422021759413</v>
      </c>
      <c r="H169" s="39" t="n">
        <f aca="false">(D169/E169-1)</f>
        <v>0.0560899113655835</v>
      </c>
      <c r="I169" s="39" t="n">
        <f aca="false">(D169/C169-1)</f>
        <v>0.00480222223781035</v>
      </c>
      <c r="J169" s="39" t="n">
        <f aca="false">(E169/C169-1)</f>
        <v>-0.0485637525515752</v>
      </c>
      <c r="K169" s="37" t="n">
        <v>22</v>
      </c>
    </row>
    <row r="170" customFormat="false" ht="15" hidden="false" customHeight="true" outlineLevel="0" collapsed="false">
      <c r="A170" s="37" t="n">
        <v>2021</v>
      </c>
      <c r="B170" s="37" t="s">
        <v>258</v>
      </c>
      <c r="C170" s="38" t="n">
        <v>34866</v>
      </c>
      <c r="D170" s="38" t="n">
        <v>35985.25</v>
      </c>
      <c r="E170" s="38" t="n">
        <v>34115.2</v>
      </c>
      <c r="F170" s="38" t="n">
        <v>34584.35</v>
      </c>
      <c r="G170" s="39" t="n">
        <f aca="false">(F170/C170-1)</f>
        <v>-0.00807807032639252</v>
      </c>
      <c r="H170" s="39" t="n">
        <f aca="false">(D170/E170-1)</f>
        <v>0.0548157419566646</v>
      </c>
      <c r="I170" s="39" t="n">
        <f aca="false">(D170/C170-1)</f>
        <v>0.0321014742155681</v>
      </c>
      <c r="J170" s="39" t="n">
        <f aca="false">(E170/C170-1)</f>
        <v>-0.021533872540584</v>
      </c>
      <c r="K170" s="37" t="n">
        <v>21</v>
      </c>
    </row>
    <row r="171" customFormat="false" ht="15" hidden="false" customHeight="true" outlineLevel="0" collapsed="false">
      <c r="A171" s="37" t="n">
        <v>2021</v>
      </c>
      <c r="B171" s="37" t="s">
        <v>259</v>
      </c>
      <c r="C171" s="38" t="n">
        <v>34760.9</v>
      </c>
      <c r="D171" s="38" t="n">
        <v>36552.8</v>
      </c>
      <c r="E171" s="38" t="n">
        <v>34588.25</v>
      </c>
      <c r="F171" s="38" t="n">
        <v>36424.6</v>
      </c>
      <c r="G171" s="39" t="n">
        <f aca="false">(F171/C171-1)</f>
        <v>0.0478612464004096</v>
      </c>
      <c r="H171" s="39" t="n">
        <f aca="false">(D171/E171-1)</f>
        <v>0.056798190136824</v>
      </c>
      <c r="I171" s="39" t="n">
        <f aca="false">(D171/C171-1)</f>
        <v>0.0515492982057426</v>
      </c>
      <c r="J171" s="39" t="n">
        <f aca="false">(E171/C171-1)</f>
        <v>-0.00496678739618373</v>
      </c>
      <c r="K171" s="37" t="n">
        <v>21</v>
      </c>
    </row>
    <row r="172" customFormat="false" ht="15" hidden="false" customHeight="true" outlineLevel="0" collapsed="false">
      <c r="A172" s="37" t="n">
        <v>2021</v>
      </c>
      <c r="B172" s="37" t="s">
        <v>260</v>
      </c>
      <c r="C172" s="38" t="n">
        <v>36591.45</v>
      </c>
      <c r="D172" s="38" t="n">
        <v>38377.25</v>
      </c>
      <c r="E172" s="38" t="n">
        <v>36151.95</v>
      </c>
      <c r="F172" s="38" t="n">
        <v>37425.1</v>
      </c>
      <c r="G172" s="39" t="n">
        <f aca="false">(F172/C172-1)</f>
        <v>0.0227826445795398</v>
      </c>
      <c r="H172" s="39" t="n">
        <f aca="false">(D172/E172-1)</f>
        <v>0.0615540793788441</v>
      </c>
      <c r="I172" s="39" t="n">
        <f aca="false">(D172/C172-1)</f>
        <v>0.0488037506029415</v>
      </c>
      <c r="J172" s="39" t="n">
        <f aca="false">(E172/C172-1)</f>
        <v>-0.0120110025702725</v>
      </c>
      <c r="K172" s="37" t="n">
        <v>21</v>
      </c>
    </row>
    <row r="173" customFormat="false" ht="15" hidden="false" customHeight="true" outlineLevel="0" collapsed="false">
      <c r="A173" s="37" t="n">
        <v>2021</v>
      </c>
      <c r="B173" s="37" t="s">
        <v>261</v>
      </c>
      <c r="C173" s="38" t="n">
        <v>37140.4</v>
      </c>
      <c r="D173" s="38" t="n">
        <v>41829.6</v>
      </c>
      <c r="E173" s="38" t="n">
        <v>36876.35</v>
      </c>
      <c r="F173" s="38" t="n">
        <v>39115.6</v>
      </c>
      <c r="G173" s="39" t="n">
        <f aca="false">(F173/C173-1)</f>
        <v>0.0531819797309667</v>
      </c>
      <c r="H173" s="39" t="n">
        <f aca="false">(D173/E173-1)</f>
        <v>0.134320506232314</v>
      </c>
      <c r="I173" s="39" t="n">
        <f aca="false">(D173/C173-1)</f>
        <v>0.126256044630645</v>
      </c>
      <c r="J173" s="39" t="n">
        <f aca="false">(E173/C173-1)</f>
        <v>-0.00710950878288874</v>
      </c>
      <c r="K173" s="37" t="n">
        <v>20</v>
      </c>
    </row>
    <row r="174" customFormat="false" ht="15" hidden="false" customHeight="true" outlineLevel="0" collapsed="false">
      <c r="A174" s="37" t="n">
        <v>2021</v>
      </c>
      <c r="B174" s="37" t="s">
        <v>262</v>
      </c>
      <c r="C174" s="38" t="n">
        <v>39432.15</v>
      </c>
      <c r="D174" s="38" t="n">
        <v>40160.2</v>
      </c>
      <c r="E174" s="38" t="n">
        <v>35327.9</v>
      </c>
      <c r="F174" s="38" t="n">
        <v>35695.3</v>
      </c>
      <c r="G174" s="39" t="n">
        <f aca="false">(F174/C174-1)</f>
        <v>-0.0947665800622081</v>
      </c>
      <c r="H174" s="39" t="n">
        <f aca="false">(D174/E174-1)</f>
        <v>0.136784241350321</v>
      </c>
      <c r="I174" s="39" t="n">
        <f aca="false">(D174/C174-1)</f>
        <v>0.0184633604812317</v>
      </c>
      <c r="J174" s="39" t="n">
        <f aca="false">(E174/C174-1)</f>
        <v>-0.104083850360683</v>
      </c>
      <c r="K174" s="37" t="n">
        <v>20</v>
      </c>
    </row>
    <row r="175" customFormat="false" ht="15" hidden="false" customHeight="true" outlineLevel="0" collapsed="false">
      <c r="A175" s="37" t="n">
        <v>2021</v>
      </c>
      <c r="B175" s="37" t="s">
        <v>263</v>
      </c>
      <c r="C175" s="38" t="n">
        <v>35902.9</v>
      </c>
      <c r="D175" s="38" t="n">
        <v>37581.05</v>
      </c>
      <c r="E175" s="38" t="n">
        <v>34018.45</v>
      </c>
      <c r="F175" s="38" t="n">
        <v>35481.7</v>
      </c>
      <c r="G175" s="39" t="n">
        <f aca="false">(F175/C175-1)</f>
        <v>-0.0117316428477924</v>
      </c>
      <c r="H175" s="39" t="n">
        <f aca="false">(D175/E175-1)</f>
        <v>0.104725523943625</v>
      </c>
      <c r="I175" s="39" t="n">
        <f aca="false">(D175/C175-1)</f>
        <v>0.0467413495845739</v>
      </c>
      <c r="J175" s="39" t="n">
        <f aca="false">(E175/C175-1)</f>
        <v>-0.0524874035245065</v>
      </c>
      <c r="K175" s="37" t="n">
        <v>23</v>
      </c>
    </row>
    <row r="176" customFormat="false" ht="15" hidden="false" customHeight="true" outlineLevel="0" collapsed="false">
      <c r="A176" s="40" t="n">
        <v>2022</v>
      </c>
      <c r="B176" s="40" t="s">
        <v>252</v>
      </c>
      <c r="C176" s="41" t="n">
        <v>35585.2</v>
      </c>
      <c r="D176" s="41" t="n">
        <v>38855.55</v>
      </c>
      <c r="E176" s="41" t="n">
        <v>35526.6</v>
      </c>
      <c r="F176" s="41" t="n">
        <v>37975.35</v>
      </c>
      <c r="G176" s="42" t="n">
        <f aca="false">(F176/C176-1)</f>
        <v>0.0671669682901881</v>
      </c>
      <c r="H176" s="42" t="n">
        <f aca="false">(D176/E176-1)</f>
        <v>0.0937030281535527</v>
      </c>
      <c r="I176" s="42" t="n">
        <f aca="false">(D176/C176-1)</f>
        <v>0.0919019704821107</v>
      </c>
      <c r="J176" s="42" t="n">
        <f aca="false">(E176/C176-1)</f>
        <v>-0.00164675202050291</v>
      </c>
      <c r="K176" s="40" t="n">
        <v>20</v>
      </c>
    </row>
    <row r="177" customFormat="false" ht="15" hidden="false" customHeight="true" outlineLevel="0" collapsed="false">
      <c r="A177" s="40" t="n">
        <v>2022</v>
      </c>
      <c r="B177" s="40" t="s">
        <v>253</v>
      </c>
      <c r="C177" s="41" t="n">
        <v>38460.45</v>
      </c>
      <c r="D177" s="41" t="n">
        <v>39424.85</v>
      </c>
      <c r="E177" s="41" t="n">
        <v>34991.35</v>
      </c>
      <c r="F177" s="41" t="n">
        <v>36205.3</v>
      </c>
      <c r="G177" s="42" t="n">
        <f aca="false">(F177/C177-1)</f>
        <v>-0.0586355593863305</v>
      </c>
      <c r="H177" s="42" t="n">
        <f aca="false">(D177/E177-1)</f>
        <v>0.126702742249156</v>
      </c>
      <c r="I177" s="42" t="n">
        <f aca="false">(D177/C177-1)</f>
        <v>0.0250751096256026</v>
      </c>
      <c r="J177" s="42" t="n">
        <f aca="false">(E177/C177-1)</f>
        <v>-0.0901991526360195</v>
      </c>
      <c r="K177" s="40" t="n">
        <v>20</v>
      </c>
    </row>
    <row r="178" customFormat="false" ht="15" hidden="false" customHeight="true" outlineLevel="0" collapsed="false">
      <c r="A178" s="40" t="n">
        <v>2022</v>
      </c>
      <c r="B178" s="40" t="s">
        <v>254</v>
      </c>
      <c r="C178" s="41" t="n">
        <v>35381.9</v>
      </c>
      <c r="D178" s="41" t="n">
        <v>36827.6</v>
      </c>
      <c r="E178" s="41" t="n">
        <v>32155.35</v>
      </c>
      <c r="F178" s="41" t="n">
        <v>36373.6</v>
      </c>
      <c r="G178" s="42" t="n">
        <f aca="false">(F178/C178-1)</f>
        <v>0.0280284552271075</v>
      </c>
      <c r="H178" s="42" t="n">
        <f aca="false">(D178/E178-1)</f>
        <v>0.145302414683715</v>
      </c>
      <c r="I178" s="42" t="n">
        <f aca="false">(D178/C178-1)</f>
        <v>0.0408598746816875</v>
      </c>
      <c r="J178" s="42" t="n">
        <f aca="false">(E178/C178-1)</f>
        <v>-0.0911921066986228</v>
      </c>
      <c r="K178" s="40" t="n">
        <v>21</v>
      </c>
    </row>
    <row r="179" customFormat="false" ht="15" hidden="false" customHeight="true" outlineLevel="0" collapsed="false">
      <c r="A179" s="40" t="n">
        <v>2022</v>
      </c>
      <c r="B179" s="40" t="s">
        <v>255</v>
      </c>
      <c r="C179" s="41" t="n">
        <v>36298.35</v>
      </c>
      <c r="D179" s="41" t="n">
        <v>38765.85</v>
      </c>
      <c r="E179" s="41" t="n">
        <v>35511.4</v>
      </c>
      <c r="F179" s="41" t="n">
        <v>36088.15</v>
      </c>
      <c r="G179" s="42" t="n">
        <f aca="false">(F179/C179-1)</f>
        <v>-0.00579089683139855</v>
      </c>
      <c r="H179" s="42" t="n">
        <f aca="false">(D179/E179-1)</f>
        <v>0.0916452181552965</v>
      </c>
      <c r="I179" s="42" t="n">
        <f aca="false">(D179/C179-1)</f>
        <v>0.06797829653414</v>
      </c>
      <c r="J179" s="42" t="n">
        <f aca="false">(E179/C179-1)</f>
        <v>-0.0216800488176458</v>
      </c>
      <c r="K179" s="40" t="n">
        <v>19</v>
      </c>
    </row>
    <row r="180" customFormat="false" ht="15" hidden="false" customHeight="true" outlineLevel="0" collapsed="false">
      <c r="A180" s="40" t="n">
        <v>2022</v>
      </c>
      <c r="B180" s="40" t="s">
        <v>256</v>
      </c>
      <c r="C180" s="41" t="n">
        <v>35627.6</v>
      </c>
      <c r="D180" s="41" t="n">
        <v>36309.3</v>
      </c>
      <c r="E180" s="41" t="n">
        <v>33001.75</v>
      </c>
      <c r="F180" s="41" t="n">
        <v>35487.4</v>
      </c>
      <c r="G180" s="42" t="n">
        <f aca="false">(F180/C180-1)</f>
        <v>-0.00393515139947676</v>
      </c>
      <c r="H180" s="42" t="n">
        <f aca="false">(D180/E180-1)</f>
        <v>0.100223472997644</v>
      </c>
      <c r="I180" s="42" t="n">
        <f aca="false">(D180/C180-1)</f>
        <v>0.0191340421470996</v>
      </c>
      <c r="J180" s="42" t="n">
        <f aca="false">(E180/C180-1)</f>
        <v>-0.0737026911720127</v>
      </c>
      <c r="K180" s="40" t="n">
        <v>21</v>
      </c>
    </row>
    <row r="181" customFormat="false" ht="15" hidden="false" customHeight="true" outlineLevel="0" collapsed="false">
      <c r="A181" s="40" t="n">
        <v>2022</v>
      </c>
      <c r="B181" s="40" t="s">
        <v>257</v>
      </c>
      <c r="C181" s="41" t="n">
        <v>35358.95</v>
      </c>
      <c r="D181" s="41" t="n">
        <v>35958.45</v>
      </c>
      <c r="E181" s="41" t="n">
        <v>32290.55</v>
      </c>
      <c r="F181" s="41" t="n">
        <v>33425.1</v>
      </c>
      <c r="G181" s="42" t="n">
        <f aca="false">(F181/C181-1)</f>
        <v>-0.0546919521083064</v>
      </c>
      <c r="H181" s="42" t="n">
        <f aca="false">(D181/E181-1)</f>
        <v>0.113590508678236</v>
      </c>
      <c r="I181" s="42" t="n">
        <f aca="false">(D181/C181-1)</f>
        <v>0.0169546889825631</v>
      </c>
      <c r="J181" s="42" t="n">
        <f aca="false">(E181/C181-1)</f>
        <v>-0.0867785949526215</v>
      </c>
      <c r="K181" s="40" t="n">
        <v>22</v>
      </c>
    </row>
    <row r="182" customFormat="false" ht="15" hidden="false" customHeight="true" outlineLevel="0" collapsed="false">
      <c r="A182" s="40" t="n">
        <v>2022</v>
      </c>
      <c r="B182" s="40" t="s">
        <v>258</v>
      </c>
      <c r="C182" s="41" t="n">
        <v>33264.75</v>
      </c>
      <c r="D182" s="41" t="n">
        <v>37754.65</v>
      </c>
      <c r="E182" s="41" t="n">
        <v>33080.45</v>
      </c>
      <c r="F182" s="41" t="n">
        <v>37491.4</v>
      </c>
      <c r="G182" s="42" t="n">
        <f aca="false">(F182/C182-1)</f>
        <v>0.12706092785907</v>
      </c>
      <c r="H182" s="42" t="n">
        <f aca="false">(D182/E182-1)</f>
        <v>0.141297956950404</v>
      </c>
      <c r="I182" s="42" t="n">
        <f aca="false">(D182/C182-1)</f>
        <v>0.134974710466786</v>
      </c>
      <c r="J182" s="42" t="n">
        <f aca="false">(E182/C182-1)</f>
        <v>-0.00554039937170736</v>
      </c>
      <c r="K182" s="40" t="n">
        <v>21</v>
      </c>
    </row>
    <row r="183" customFormat="false" ht="15" hidden="false" customHeight="true" outlineLevel="0" collapsed="false">
      <c r="A183" s="40" t="n">
        <v>2022</v>
      </c>
      <c r="B183" s="40" t="s">
        <v>259</v>
      </c>
      <c r="C183" s="41" t="n">
        <v>37594.15</v>
      </c>
      <c r="D183" s="41" t="n">
        <v>39759.15</v>
      </c>
      <c r="E183" s="41" t="n">
        <v>37249.5</v>
      </c>
      <c r="F183" s="41" t="n">
        <v>39536.75</v>
      </c>
      <c r="G183" s="42" t="n">
        <f aca="false">(F183/C183-1)</f>
        <v>0.0516729331558234</v>
      </c>
      <c r="H183" s="42" t="n">
        <f aca="false">(D183/E183-1)</f>
        <v>0.0673740587121976</v>
      </c>
      <c r="I183" s="42" t="n">
        <f aca="false">(D183/C183-1)</f>
        <v>0.0575887471853998</v>
      </c>
      <c r="J183" s="42" t="n">
        <f aca="false">(E183/C183-1)</f>
        <v>-0.00916764975401763</v>
      </c>
      <c r="K183" s="40" t="n">
        <v>20</v>
      </c>
    </row>
    <row r="184" customFormat="false" ht="15" hidden="false" customHeight="true" outlineLevel="0" collapsed="false">
      <c r="A184" s="40" t="n">
        <v>2022</v>
      </c>
      <c r="B184" s="40" t="s">
        <v>260</v>
      </c>
      <c r="C184" s="41" t="n">
        <v>38806.7</v>
      </c>
      <c r="D184" s="41" t="n">
        <v>41840.15</v>
      </c>
      <c r="E184" s="41" t="n">
        <v>37386.35</v>
      </c>
      <c r="F184" s="41" t="n">
        <v>38631.95</v>
      </c>
      <c r="G184" s="42" t="n">
        <f aca="false">(F184/C184-1)</f>
        <v>-0.00450308838422231</v>
      </c>
      <c r="H184" s="42" t="n">
        <f aca="false">(D184/E184-1)</f>
        <v>0.119129040411808</v>
      </c>
      <c r="I184" s="42" t="n">
        <f aca="false">(D184/C184-1)</f>
        <v>0.0781682029134145</v>
      </c>
      <c r="J184" s="42" t="n">
        <f aca="false">(E184/C184-1)</f>
        <v>-0.0366006385495288</v>
      </c>
      <c r="K184" s="40" t="n">
        <v>22</v>
      </c>
    </row>
    <row r="185" customFormat="false" ht="15" hidden="false" customHeight="true" outlineLevel="0" collapsed="false">
      <c r="A185" s="40" t="n">
        <v>2022</v>
      </c>
      <c r="B185" s="40" t="s">
        <v>261</v>
      </c>
      <c r="C185" s="41" t="n">
        <v>38444.9</v>
      </c>
      <c r="D185" s="41" t="n">
        <v>41530.65</v>
      </c>
      <c r="E185" s="41" t="n">
        <v>37963.25</v>
      </c>
      <c r="F185" s="41" t="n">
        <v>41307.9</v>
      </c>
      <c r="G185" s="42" t="n">
        <f aca="false">(F185/C185-1)</f>
        <v>0.0744702158153616</v>
      </c>
      <c r="H185" s="42" t="n">
        <f aca="false">(D185/E185-1)</f>
        <v>0.0939698260818029</v>
      </c>
      <c r="I185" s="42" t="n">
        <f aca="false">(D185/C185-1)</f>
        <v>0.080264222302568</v>
      </c>
      <c r="J185" s="42" t="n">
        <f aca="false">(E185/C185-1)</f>
        <v>-0.0125283197511243</v>
      </c>
      <c r="K185" s="40" t="n">
        <v>19</v>
      </c>
    </row>
    <row r="186" customFormat="false" ht="15" hidden="false" customHeight="true" outlineLevel="0" collapsed="false">
      <c r="A186" s="40" t="n">
        <v>2022</v>
      </c>
      <c r="B186" s="40" t="s">
        <v>262</v>
      </c>
      <c r="C186" s="41" t="n">
        <v>41552.4</v>
      </c>
      <c r="D186" s="41" t="n">
        <v>43339.15</v>
      </c>
      <c r="E186" s="41" t="n">
        <v>40819.15</v>
      </c>
      <c r="F186" s="41" t="n">
        <v>43231</v>
      </c>
      <c r="G186" s="42" t="n">
        <f aca="false">(F186/C186-1)</f>
        <v>0.0403971852408043</v>
      </c>
      <c r="H186" s="42" t="n">
        <f aca="false">(D186/E186-1)</f>
        <v>0.0617357294309167</v>
      </c>
      <c r="I186" s="42" t="n">
        <f aca="false">(D186/C186-1)</f>
        <v>0.0429999229888045</v>
      </c>
      <c r="J186" s="42" t="n">
        <f aca="false">(E186/C186-1)</f>
        <v>-0.0176463934694506</v>
      </c>
      <c r="K186" s="40" t="n">
        <v>21</v>
      </c>
    </row>
    <row r="187" customFormat="false" ht="15" hidden="false" customHeight="true" outlineLevel="0" collapsed="false">
      <c r="A187" s="40" t="n">
        <v>2022</v>
      </c>
      <c r="B187" s="40" t="s">
        <v>263</v>
      </c>
      <c r="C187" s="41" t="n">
        <v>43512.1</v>
      </c>
      <c r="D187" s="41" t="n">
        <v>44151.8</v>
      </c>
      <c r="E187" s="41" t="n">
        <v>41569.45</v>
      </c>
      <c r="F187" s="41" t="n">
        <v>42986.45</v>
      </c>
      <c r="G187" s="42" t="n">
        <f aca="false">(F187/C187-1)</f>
        <v>-0.0120805477097176</v>
      </c>
      <c r="H187" s="42" t="n">
        <f aca="false">(D187/E187-1)</f>
        <v>0.0621213415140207</v>
      </c>
      <c r="I187" s="42" t="n">
        <f aca="false">(D187/C187-1)</f>
        <v>0.0147016576998122</v>
      </c>
      <c r="J187" s="42" t="n">
        <f aca="false">(E187/C187-1)</f>
        <v>-0.0446462018610916</v>
      </c>
      <c r="K187" s="40" t="n">
        <v>22</v>
      </c>
    </row>
    <row r="188" customFormat="false" ht="15" hidden="false" customHeight="true" outlineLevel="0" collapsed="false">
      <c r="A188" s="37" t="n">
        <v>2023</v>
      </c>
      <c r="B188" s="37" t="s">
        <v>252</v>
      </c>
      <c r="C188" s="38" t="n">
        <v>43038.25</v>
      </c>
      <c r="D188" s="38" t="n">
        <v>43578.4</v>
      </c>
      <c r="E188" s="38" t="n">
        <v>39419.8</v>
      </c>
      <c r="F188" s="38" t="n">
        <v>40655.05</v>
      </c>
      <c r="G188" s="39" t="n">
        <f aca="false">(F188/C188-1)</f>
        <v>-0.0553739987104493</v>
      </c>
      <c r="H188" s="39" t="n">
        <f aca="false">(D188/E188-1)</f>
        <v>0.105495207991923</v>
      </c>
      <c r="I188" s="39" t="n">
        <f aca="false">(D188/C188-1)</f>
        <v>0.0125504638315916</v>
      </c>
      <c r="J188" s="39" t="n">
        <f aca="false">(E188/C188-1)</f>
        <v>-0.0840752121659221</v>
      </c>
      <c r="K188" s="37" t="n">
        <v>21</v>
      </c>
    </row>
    <row r="189" customFormat="false" ht="15" hidden="false" customHeight="true" outlineLevel="0" collapsed="false">
      <c r="A189" s="37" t="n">
        <v>2023</v>
      </c>
      <c r="B189" s="37" t="s">
        <v>253</v>
      </c>
      <c r="C189" s="38" t="n">
        <v>41115</v>
      </c>
      <c r="D189" s="38" t="n">
        <v>42015.65</v>
      </c>
      <c r="E189" s="38" t="n">
        <v>39490.5</v>
      </c>
      <c r="F189" s="38" t="n">
        <v>40269.05</v>
      </c>
      <c r="G189" s="39" t="n">
        <f aca="false">(F189/C189-1)</f>
        <v>-0.0205752158579593</v>
      </c>
      <c r="H189" s="39" t="n">
        <f aca="false">(D189/E189-1)</f>
        <v>0.0639432268520277</v>
      </c>
      <c r="I189" s="39" t="n">
        <f aca="false">(D189/C189-1)</f>
        <v>0.0219056305484617</v>
      </c>
      <c r="J189" s="39" t="n">
        <f aca="false">(E189/C189-1)</f>
        <v>-0.0395111273257935</v>
      </c>
      <c r="K189" s="37" t="n">
        <v>20</v>
      </c>
    </row>
    <row r="190" customFormat="false" ht="15" hidden="false" customHeight="true" outlineLevel="0" collapsed="false">
      <c r="A190" s="37" t="n">
        <v>2023</v>
      </c>
      <c r="B190" s="37" t="s">
        <v>254</v>
      </c>
      <c r="C190" s="38" t="n">
        <v>40473.85</v>
      </c>
      <c r="D190" s="38" t="n">
        <v>41671.2</v>
      </c>
      <c r="E190" s="38" t="n">
        <v>38613.15</v>
      </c>
      <c r="F190" s="38" t="n">
        <v>40608.65</v>
      </c>
      <c r="G190" s="39" t="n">
        <f aca="false">(F190/C190-1)</f>
        <v>0.00333054552507361</v>
      </c>
      <c r="H190" s="39" t="n">
        <f aca="false">(D190/E190-1)</f>
        <v>0.0791971129006568</v>
      </c>
      <c r="I190" s="39" t="n">
        <f aca="false">(D190/C190-1)</f>
        <v>0.0295832988460449</v>
      </c>
      <c r="J190" s="39" t="n">
        <f aca="false">(E190/C190-1)</f>
        <v>-0.0459728936090833</v>
      </c>
      <c r="K190" s="37" t="n">
        <v>21</v>
      </c>
    </row>
    <row r="191" customFormat="false" ht="15" hidden="false" customHeight="true" outlineLevel="0" collapsed="false">
      <c r="A191" s="37" t="n">
        <v>2023</v>
      </c>
      <c r="B191" s="37" t="s">
        <v>255</v>
      </c>
      <c r="C191" s="38" t="n">
        <v>40695.8</v>
      </c>
      <c r="D191" s="38" t="n">
        <v>43302.05</v>
      </c>
      <c r="E191" s="38" t="n">
        <v>40535.9</v>
      </c>
      <c r="F191" s="38" t="n">
        <v>43233.9</v>
      </c>
      <c r="G191" s="39" t="n">
        <f aca="false">(F191/C191-1)</f>
        <v>0.0623676153313117</v>
      </c>
      <c r="H191" s="39" t="n">
        <f aca="false">(D191/E191-1)</f>
        <v>0.0682395111493763</v>
      </c>
      <c r="I191" s="39" t="n">
        <f aca="false">(D191/C191-1)</f>
        <v>0.0640422353166665</v>
      </c>
      <c r="J191" s="39" t="n">
        <f aca="false">(E191/C191-1)</f>
        <v>-0.00392915239410463</v>
      </c>
      <c r="K191" s="37" t="n">
        <v>17</v>
      </c>
    </row>
    <row r="192" customFormat="false" ht="15" hidden="false" customHeight="true" outlineLevel="0" collapsed="false">
      <c r="A192" s="37" t="n">
        <v>2023</v>
      </c>
      <c r="B192" s="37" t="s">
        <v>256</v>
      </c>
      <c r="C192" s="38" t="n">
        <v>43395.05</v>
      </c>
      <c r="D192" s="38" t="n">
        <v>44498.6</v>
      </c>
      <c r="E192" s="38" t="n">
        <v>42582.2</v>
      </c>
      <c r="F192" s="38" t="n">
        <v>44128.15</v>
      </c>
      <c r="G192" s="39" t="n">
        <f aca="false">(F192/C192-1)</f>
        <v>0.0168936318773685</v>
      </c>
      <c r="H192" s="39" t="n">
        <f aca="false">(D192/E192-1)</f>
        <v>0.0450047202821837</v>
      </c>
      <c r="I192" s="39" t="n">
        <f aca="false">(D192/C192-1)</f>
        <v>0.0254303198175827</v>
      </c>
      <c r="J192" s="39" t="n">
        <f aca="false">(E192/C192-1)</f>
        <v>-0.018731399088145</v>
      </c>
      <c r="K192" s="37" t="n">
        <v>22</v>
      </c>
    </row>
    <row r="193" customFormat="false" ht="15" hidden="false" customHeight="true" outlineLevel="0" collapsed="false">
      <c r="A193" s="37" t="n">
        <v>2023</v>
      </c>
      <c r="B193" s="37" t="s">
        <v>257</v>
      </c>
      <c r="C193" s="38" t="n">
        <v>44172.05</v>
      </c>
      <c r="D193" s="38" t="n">
        <v>44787.1</v>
      </c>
      <c r="E193" s="38" t="n">
        <v>43345.95</v>
      </c>
      <c r="F193" s="38" t="n">
        <v>44747.35</v>
      </c>
      <c r="G193" s="39" t="n">
        <f aca="false">(F193/C193-1)</f>
        <v>0.0130240729148861</v>
      </c>
      <c r="H193" s="39" t="n">
        <f aca="false">(D193/E193-1)</f>
        <v>0.0332476275176805</v>
      </c>
      <c r="I193" s="39" t="n">
        <f aca="false">(D193/C193-1)</f>
        <v>0.013923963230142</v>
      </c>
      <c r="J193" s="39" t="n">
        <f aca="false">(E193/C193-1)</f>
        <v>-0.0187018714322746</v>
      </c>
      <c r="K193" s="37" t="n">
        <v>21</v>
      </c>
    </row>
    <row r="194" customFormat="false" ht="15" hidden="false" customHeight="true" outlineLevel="0" collapsed="false">
      <c r="A194" s="37" t="n">
        <v>2023</v>
      </c>
      <c r="B194" s="37" t="s">
        <v>258</v>
      </c>
      <c r="C194" s="38" t="n">
        <v>44957.95</v>
      </c>
      <c r="D194" s="38" t="n">
        <v>46369.5</v>
      </c>
      <c r="E194" s="38" t="n">
        <v>44547.8</v>
      </c>
      <c r="F194" s="38" t="n">
        <v>45651.1</v>
      </c>
      <c r="G194" s="39" t="n">
        <f aca="false">(F194/C194-1)</f>
        <v>0.0154177403551541</v>
      </c>
      <c r="H194" s="39" t="n">
        <f aca="false">(D194/E194-1)</f>
        <v>0.0408931529727619</v>
      </c>
      <c r="I194" s="39" t="n">
        <f aca="false">(D194/C194-1)</f>
        <v>0.0313971166389928</v>
      </c>
      <c r="J194" s="39" t="n">
        <f aca="false">(E194/C194-1)</f>
        <v>-0.00912296935247259</v>
      </c>
      <c r="K194" s="37" t="n">
        <v>21</v>
      </c>
    </row>
    <row r="195" customFormat="false" ht="15" hidden="false" customHeight="true" outlineLevel="0" collapsed="false">
      <c r="A195" s="37" t="n">
        <v>2023</v>
      </c>
      <c r="B195" s="37" t="s">
        <v>259</v>
      </c>
      <c r="C195" s="38" t="n">
        <v>45740</v>
      </c>
      <c r="D195" s="38" t="n">
        <v>45782.75</v>
      </c>
      <c r="E195" s="38" t="n">
        <v>43600.35</v>
      </c>
      <c r="F195" s="38" t="n">
        <v>43989.15</v>
      </c>
      <c r="G195" s="39" t="n">
        <f aca="false">(F195/C195-1)</f>
        <v>-0.0382783121993878</v>
      </c>
      <c r="H195" s="39" t="n">
        <f aca="false">(D195/E195-1)</f>
        <v>0.0500546440567564</v>
      </c>
      <c r="I195" s="39" t="n">
        <f aca="false">(D195/C195-1)</f>
        <v>0.00093463052033238</v>
      </c>
      <c r="J195" s="39" t="n">
        <f aca="false">(E195/C195-1)</f>
        <v>-0.0467785308264102</v>
      </c>
      <c r="K195" s="37" t="n">
        <v>22</v>
      </c>
    </row>
    <row r="196" customFormat="false" ht="15" hidden="false" customHeight="true" outlineLevel="0" collapsed="false">
      <c r="A196" s="37" t="n">
        <v>2023</v>
      </c>
      <c r="B196" s="37" t="s">
        <v>260</v>
      </c>
      <c r="C196" s="38" t="n">
        <v>43996.1</v>
      </c>
      <c r="D196" s="38" t="n">
        <v>46310.4</v>
      </c>
      <c r="E196" s="38" t="n">
        <v>43830.75</v>
      </c>
      <c r="F196" s="38" t="n">
        <v>44584.55</v>
      </c>
      <c r="G196" s="39" t="n">
        <f aca="false">(F196/C196-1)</f>
        <v>0.0133750491520841</v>
      </c>
      <c r="H196" s="39" t="n">
        <f aca="false">(D196/E196-1)</f>
        <v>0.0565732961448298</v>
      </c>
      <c r="I196" s="39" t="n">
        <f aca="false">(D196/C196-1)</f>
        <v>0.0526023897572741</v>
      </c>
      <c r="J196" s="39" t="n">
        <f aca="false">(E196/C196-1)</f>
        <v>-0.00375828766640673</v>
      </c>
      <c r="K196" s="37" t="n">
        <v>20</v>
      </c>
    </row>
    <row r="197" customFormat="false" ht="15" hidden="false" customHeight="true" outlineLevel="0" collapsed="false">
      <c r="A197" s="37" t="n">
        <v>2023</v>
      </c>
      <c r="B197" s="37" t="s">
        <v>261</v>
      </c>
      <c r="C197" s="38" t="n">
        <v>44561.5</v>
      </c>
      <c r="D197" s="38" t="n">
        <v>44710.55</v>
      </c>
      <c r="E197" s="38" t="n">
        <v>42105.4</v>
      </c>
      <c r="F197" s="38" t="n">
        <v>42845.95</v>
      </c>
      <c r="G197" s="39" t="n">
        <f aca="false">(F197/C197-1)</f>
        <v>-0.0384984796292764</v>
      </c>
      <c r="H197" s="39" t="n">
        <f aca="false">(D197/E197-1)</f>
        <v>0.061872111415638</v>
      </c>
      <c r="I197" s="39" t="n">
        <f aca="false">(D197/C197-1)</f>
        <v>0.00334481559193489</v>
      </c>
      <c r="J197" s="39" t="n">
        <f aca="false">(E197/C197-1)</f>
        <v>-0.0551170853763899</v>
      </c>
      <c r="K197" s="37" t="n">
        <v>20</v>
      </c>
    </row>
    <row r="198" customFormat="false" ht="15" hidden="false" customHeight="true" outlineLevel="0" collapsed="false">
      <c r="A198" s="37" t="n">
        <v>2023</v>
      </c>
      <c r="B198" s="37" t="s">
        <v>262</v>
      </c>
      <c r="C198" s="38" t="n">
        <v>42694.25</v>
      </c>
      <c r="D198" s="38" t="n">
        <v>44764.8</v>
      </c>
      <c r="E198" s="38" t="n">
        <v>42589.65</v>
      </c>
      <c r="F198" s="38" t="n">
        <v>44481.75</v>
      </c>
      <c r="G198" s="39" t="n">
        <f aca="false">(F198/C198-1)</f>
        <v>0.0418674645883228</v>
      </c>
      <c r="H198" s="39" t="n">
        <f aca="false">(D198/E198-1)</f>
        <v>0.0510722675579631</v>
      </c>
      <c r="I198" s="39" t="n">
        <f aca="false">(D198/C198-1)</f>
        <v>0.0484971629669102</v>
      </c>
      <c r="J198" s="39" t="n">
        <f aca="false">(E198/C198-1)</f>
        <v>-0.0024499786270985</v>
      </c>
      <c r="K198" s="37" t="n">
        <v>20</v>
      </c>
    </row>
    <row r="199" customFormat="false" ht="15" hidden="false" customHeight="true" outlineLevel="0" collapsed="false">
      <c r="A199" s="37" t="n">
        <v>2023</v>
      </c>
      <c r="B199" s="37" t="s">
        <v>263</v>
      </c>
      <c r="C199" s="38" t="n">
        <v>44580.15</v>
      </c>
      <c r="D199" s="38" t="n">
        <v>48636.45</v>
      </c>
      <c r="E199" s="38" t="n">
        <v>44531.75</v>
      </c>
      <c r="F199" s="38" t="n">
        <v>48292.25</v>
      </c>
      <c r="G199" s="39" t="n">
        <f aca="false">(F199/C199-1)</f>
        <v>0.0832680015657192</v>
      </c>
      <c r="H199" s="39" t="n">
        <f aca="false">(D199/E199-1)</f>
        <v>0.0921746843544211</v>
      </c>
      <c r="I199" s="39" t="n">
        <f aca="false">(D199/C199-1)</f>
        <v>0.09098892668598</v>
      </c>
      <c r="J199" s="39" t="n">
        <f aca="false">(E199/C199-1)</f>
        <v>-0.00108568499657358</v>
      </c>
      <c r="K199" s="37" t="n">
        <v>20</v>
      </c>
    </row>
    <row r="200" customFormat="false" ht="15" hidden="false" customHeight="true" outlineLevel="0" collapsed="false">
      <c r="A200" s="40" t="n">
        <v>2024</v>
      </c>
      <c r="B200" s="40" t="s">
        <v>252</v>
      </c>
      <c r="C200" s="41" t="n">
        <v>48203.45</v>
      </c>
      <c r="D200" s="41" t="n">
        <v>48450</v>
      </c>
      <c r="E200" s="41" t="n">
        <v>44429</v>
      </c>
      <c r="F200" s="41" t="n">
        <v>45996.8</v>
      </c>
      <c r="G200" s="42" t="n">
        <f aca="false">(F200/C200-1)</f>
        <v>-0.0457778437020585</v>
      </c>
      <c r="H200" s="42" t="n">
        <f aca="false">(D200/E200-1)</f>
        <v>0.0905039501226677</v>
      </c>
      <c r="I200" s="42" t="n">
        <f aca="false">(D200/C200-1)</f>
        <v>0.00511477912887992</v>
      </c>
      <c r="J200" s="42" t="n">
        <f aca="false">(E200/C200-1)</f>
        <v>-0.0783024866477399</v>
      </c>
      <c r="K200" s="40" t="n">
        <v>21</v>
      </c>
    </row>
    <row r="201" customFormat="false" ht="15" hidden="false" customHeight="true" outlineLevel="0" collapsed="false">
      <c r="A201" s="40" t="n">
        <v>2024</v>
      </c>
      <c r="B201" s="40" t="s">
        <v>253</v>
      </c>
      <c r="C201" s="41" t="n">
        <v>46164.9</v>
      </c>
      <c r="D201" s="41" t="n">
        <v>47363.4</v>
      </c>
      <c r="E201" s="41" t="n">
        <v>44633.85</v>
      </c>
      <c r="F201" s="41" t="n">
        <v>46120.9</v>
      </c>
      <c r="G201" s="42" t="n">
        <f aca="false">(F201/C201-1)</f>
        <v>-0.00095310506467039</v>
      </c>
      <c r="H201" s="42" t="n">
        <f aca="false">(D201/E201-1)</f>
        <v>0.0611542584831917</v>
      </c>
      <c r="I201" s="42" t="n">
        <f aca="false">(D201/C201-1)</f>
        <v>0.0259612822728956</v>
      </c>
      <c r="J201" s="42" t="n">
        <f aca="false">(E201/C201-1)</f>
        <v>-0.0331648070287167</v>
      </c>
      <c r="K201" s="40" t="n">
        <v>21</v>
      </c>
    </row>
    <row r="202" customFormat="false" ht="15" hidden="false" customHeight="true" outlineLevel="0" collapsed="false">
      <c r="A202" s="40" t="n">
        <v>2024</v>
      </c>
      <c r="B202" s="40" t="s">
        <v>254</v>
      </c>
      <c r="C202" s="41" t="n">
        <v>46218</v>
      </c>
      <c r="D202" s="41" t="n">
        <v>48161.25</v>
      </c>
      <c r="E202" s="41" t="n">
        <v>45828.8</v>
      </c>
      <c r="F202" s="41" t="n">
        <v>47124.6</v>
      </c>
      <c r="G202" s="42" t="n">
        <f aca="false">(F202/C202-1)</f>
        <v>0.01961573412956</v>
      </c>
      <c r="H202" s="42" t="n">
        <f aca="false">(D202/E202-1)</f>
        <v>0.0508948521453758</v>
      </c>
      <c r="I202" s="42" t="n">
        <f aca="false">(D202/C202-1)</f>
        <v>0.0420453070232376</v>
      </c>
      <c r="J202" s="42" t="n">
        <f aca="false">(E202/C202-1)</f>
        <v>-0.00842096153013971</v>
      </c>
      <c r="K202" s="40" t="n">
        <v>18</v>
      </c>
    </row>
    <row r="203" customFormat="false" ht="15" hidden="false" customHeight="true" outlineLevel="0" collapsed="false">
      <c r="A203" s="40" t="n">
        <v>2024</v>
      </c>
      <c r="B203" s="40" t="s">
        <v>255</v>
      </c>
      <c r="C203" s="41" t="n">
        <v>47391.05</v>
      </c>
      <c r="D203" s="41" t="n">
        <v>49974.75</v>
      </c>
      <c r="E203" s="41" t="n">
        <v>46579.05</v>
      </c>
      <c r="F203" s="41" t="n">
        <v>49396.75</v>
      </c>
      <c r="G203" s="42" t="n">
        <f aca="false">(F203/C203-1)</f>
        <v>0.0423223372345622</v>
      </c>
      <c r="H203" s="42" t="n">
        <f aca="false">(D203/E203-1)</f>
        <v>0.0729018732670588</v>
      </c>
      <c r="I203" s="42" t="n">
        <f aca="false">(D203/C203-1)</f>
        <v>0.0545187329675116</v>
      </c>
      <c r="J203" s="42" t="n">
        <f aca="false">(E203/C203-1)</f>
        <v>-0.017134036912033</v>
      </c>
      <c r="K203" s="40" t="n">
        <v>20</v>
      </c>
    </row>
    <row r="204" customFormat="false" ht="15" hidden="false" customHeight="true" outlineLevel="0" collapsed="false">
      <c r="A204" s="40" t="n">
        <v>2024</v>
      </c>
      <c r="B204" s="40" t="s">
        <v>256</v>
      </c>
      <c r="C204" s="41" t="n">
        <v>49262</v>
      </c>
      <c r="D204" s="41" t="n">
        <v>49688.85</v>
      </c>
      <c r="E204" s="41" t="n">
        <v>46983.25</v>
      </c>
      <c r="F204" s="41" t="n">
        <v>48983.95</v>
      </c>
      <c r="G204" s="42" t="n">
        <f aca="false">(F204/C204-1)</f>
        <v>-0.00564431001583376</v>
      </c>
      <c r="H204" s="42" t="n">
        <f aca="false">(D204/E204-1)</f>
        <v>0.0575864802881878</v>
      </c>
      <c r="I204" s="42" t="n">
        <f aca="false">(D204/C204-1)</f>
        <v>0.00866489383297475</v>
      </c>
      <c r="J204" s="42" t="n">
        <f aca="false">(E204/C204-1)</f>
        <v>-0.0462577646055783</v>
      </c>
      <c r="K204" s="40" t="n">
        <v>21</v>
      </c>
    </row>
    <row r="205" customFormat="false" ht="15" hidden="false" customHeight="true" outlineLevel="0" collapsed="false">
      <c r="A205" s="40" t="n">
        <v>2024</v>
      </c>
      <c r="B205" s="40" t="s">
        <v>257</v>
      </c>
      <c r="C205" s="41" t="n">
        <v>50889.85</v>
      </c>
      <c r="D205" s="41" t="n">
        <v>53180.75</v>
      </c>
      <c r="E205" s="41" t="n">
        <v>46077.85</v>
      </c>
      <c r="F205" s="41" t="n">
        <v>52342.25</v>
      </c>
      <c r="G205" s="42" t="n">
        <f aca="false">(F205/C205-1)</f>
        <v>0.028540072332695</v>
      </c>
      <c r="H205" s="42" t="n">
        <f aca="false">(D205/E205-1)</f>
        <v>0.154149987466863</v>
      </c>
      <c r="I205" s="42" t="n">
        <f aca="false">(D205/C205-1)</f>
        <v>0.0450168353807292</v>
      </c>
      <c r="J205" s="42" t="n">
        <f aca="false">(E205/C205-1)</f>
        <v>-0.0945571661146575</v>
      </c>
      <c r="K205" s="40" t="n">
        <v>19</v>
      </c>
    </row>
    <row r="206" customFormat="false" ht="15" hidden="false" customHeight="true" outlineLevel="0" collapsed="false">
      <c r="A206" s="40" t="n">
        <v>2024</v>
      </c>
      <c r="B206" s="40" t="s">
        <v>258</v>
      </c>
      <c r="C206" s="41" t="n">
        <v>52351.15</v>
      </c>
      <c r="D206" s="41" t="n">
        <v>53357.7</v>
      </c>
      <c r="E206" s="41" t="n">
        <v>50438.3</v>
      </c>
      <c r="F206" s="41" t="n">
        <v>51553.4</v>
      </c>
      <c r="G206" s="42" t="n">
        <f aca="false">(F206/C206-1)</f>
        <v>-0.0152384427085174</v>
      </c>
      <c r="H206" s="42" t="n">
        <f aca="false">(D206/E206-1)</f>
        <v>0.0578806184982443</v>
      </c>
      <c r="I206" s="42" t="n">
        <f aca="false">(D206/C206-1)</f>
        <v>0.0192268937740623</v>
      </c>
      <c r="J206" s="42" t="n">
        <f aca="false">(E206/C206-1)</f>
        <v>-0.0365388343904575</v>
      </c>
      <c r="K206" s="40" t="n">
        <v>22</v>
      </c>
    </row>
    <row r="207" customFormat="false" ht="15" hidden="false" customHeight="true" outlineLevel="0" collapsed="false">
      <c r="A207" s="40" t="n">
        <v>2024</v>
      </c>
      <c r="B207" s="40" t="s">
        <v>259</v>
      </c>
      <c r="C207" s="41" t="n">
        <v>51672.6</v>
      </c>
      <c r="D207" s="41" t="n">
        <v>51877.15</v>
      </c>
      <c r="E207" s="41" t="n">
        <v>49654.65</v>
      </c>
      <c r="F207" s="41" t="n">
        <v>51351</v>
      </c>
      <c r="G207" s="42" t="n">
        <f aca="false">(F207/C207-1)</f>
        <v>-0.00622380139571066</v>
      </c>
      <c r="H207" s="42" t="n">
        <f aca="false">(D207/E207-1)</f>
        <v>0.0447591514591281</v>
      </c>
      <c r="I207" s="42" t="n">
        <f aca="false">(D207/C207-1)</f>
        <v>0.00395857766011387</v>
      </c>
      <c r="J207" s="42" t="n">
        <f aca="false">(E207/C207-1)</f>
        <v>-0.0390526120226193</v>
      </c>
      <c r="K207" s="40" t="n">
        <v>21</v>
      </c>
    </row>
    <row r="208" customFormat="false" ht="15" hidden="false" customHeight="true" outlineLevel="0" collapsed="false">
      <c r="A208" s="40" t="n">
        <v>2024</v>
      </c>
      <c r="B208" s="40" t="s">
        <v>260</v>
      </c>
      <c r="C208" s="41" t="n">
        <v>51579.5</v>
      </c>
      <c r="D208" s="41" t="n">
        <v>54467.35</v>
      </c>
      <c r="E208" s="41" t="n">
        <v>50369.4</v>
      </c>
      <c r="F208" s="41" t="n">
        <v>52978.1</v>
      </c>
      <c r="G208" s="42" t="n">
        <f aca="false">(F208/C208-1)</f>
        <v>0.0271154237633169</v>
      </c>
      <c r="H208" s="42" t="n">
        <f aca="false">(D208/E208-1)</f>
        <v>0.0813579276306646</v>
      </c>
      <c r="I208" s="42" t="n">
        <f aca="false">(D208/C208-1)</f>
        <v>0.0559883286964782</v>
      </c>
      <c r="J208" s="42" t="n">
        <f aca="false">(E208/C208-1)</f>
        <v>-0.0234608710825037</v>
      </c>
      <c r="K208" s="40" t="n">
        <v>21</v>
      </c>
    </row>
    <row r="209" customFormat="false" ht="15" hidden="false" customHeight="true" outlineLevel="0" collapsed="false">
      <c r="A209" s="40" t="n">
        <v>2024</v>
      </c>
      <c r="B209" s="40" t="s">
        <v>261</v>
      </c>
      <c r="C209" s="41" t="n">
        <v>52844</v>
      </c>
      <c r="D209" s="41" t="n">
        <v>53235.25</v>
      </c>
      <c r="E209" s="41" t="n">
        <v>50194.3</v>
      </c>
      <c r="F209" s="41" t="n">
        <v>51475.35</v>
      </c>
      <c r="G209" s="42" t="n">
        <f aca="false">(F209/C209-1)</f>
        <v>-0.0258998183332072</v>
      </c>
      <c r="H209" s="42" t="n">
        <f aca="false">(D209/E209-1)</f>
        <v>0.0605835722382819</v>
      </c>
      <c r="I209" s="42" t="n">
        <f aca="false">(D209/C209-1)</f>
        <v>0.00740386798879711</v>
      </c>
      <c r="J209" s="42" t="n">
        <f aca="false">(E209/C209-1)</f>
        <v>-0.0501419271818938</v>
      </c>
      <c r="K209" s="40" t="n">
        <v>22</v>
      </c>
    </row>
    <row r="210" customFormat="false" ht="15" hidden="false" customHeight="true" outlineLevel="0" collapsed="false">
      <c r="A210" s="40" t="n">
        <v>2024</v>
      </c>
      <c r="B210" s="40" t="s">
        <v>262</v>
      </c>
      <c r="C210" s="41" t="n">
        <v>51550.15</v>
      </c>
      <c r="D210" s="41" t="n">
        <v>52760.2</v>
      </c>
      <c r="E210" s="41" t="n">
        <v>49787.1</v>
      </c>
      <c r="F210" s="41" t="n">
        <v>52055.6</v>
      </c>
      <c r="G210" s="42" t="n">
        <f aca="false">(F210/C210-1)</f>
        <v>0.00980501511634779</v>
      </c>
      <c r="H210" s="42" t="n">
        <f aca="false">(D210/E210-1)</f>
        <v>0.0597162718856892</v>
      </c>
      <c r="I210" s="42" t="n">
        <f aca="false">(D210/C210-1)</f>
        <v>0.0234732585647179</v>
      </c>
      <c r="J210" s="42" t="n">
        <f aca="false">(E210/C210-1)</f>
        <v>-0.0342006764286816</v>
      </c>
      <c r="K210" s="40" t="n">
        <v>19</v>
      </c>
    </row>
    <row r="211" customFormat="false" ht="15" hidden="false" customHeight="true" outlineLevel="0" collapsed="false">
      <c r="A211" s="40" t="n">
        <v>2024</v>
      </c>
      <c r="B211" s="40" t="s">
        <v>263</v>
      </c>
      <c r="C211" s="41" t="n">
        <v>52087.65</v>
      </c>
      <c r="D211" s="41" t="n">
        <v>53888.3</v>
      </c>
      <c r="E211" s="41" t="n">
        <v>50599.8</v>
      </c>
      <c r="F211" s="41" t="n">
        <v>50860.2</v>
      </c>
      <c r="G211" s="42" t="n">
        <f aca="false">(F211/C211-1)</f>
        <v>-0.0235650869255957</v>
      </c>
      <c r="H211" s="42" t="n">
        <f aca="false">(D211/E211-1)</f>
        <v>0.0649903754560295</v>
      </c>
      <c r="I211" s="42" t="n">
        <f aca="false">(D211/C211-1)</f>
        <v>0.0345696148703196</v>
      </c>
      <c r="J211" s="42" t="n">
        <f aca="false">(E211/C211-1)</f>
        <v>-0.0285643525864576</v>
      </c>
      <c r="K211" s="40" t="n">
        <v>21</v>
      </c>
    </row>
    <row r="212" customFormat="false" ht="15" hidden="false" customHeight="true" outlineLevel="0" collapsed="false">
      <c r="A212" s="37" t="n">
        <v>2025</v>
      </c>
      <c r="B212" s="37" t="s">
        <v>252</v>
      </c>
      <c r="C212" s="38" t="n">
        <v>50841.9</v>
      </c>
      <c r="D212" s="38" t="n">
        <v>51672.75</v>
      </c>
      <c r="E212" s="38" t="n">
        <v>47844.15</v>
      </c>
      <c r="F212" s="38" t="n">
        <v>49587.2</v>
      </c>
      <c r="G212" s="39" t="n">
        <f aca="false">(F212/C212-1)</f>
        <v>-0.0246784640227844</v>
      </c>
      <c r="H212" s="39" t="n">
        <f aca="false">(D212/E212-1)</f>
        <v>0.0800223224782968</v>
      </c>
      <c r="I212" s="39" t="n">
        <f aca="false">(D212/C212-1)</f>
        <v>0.0163418361626926</v>
      </c>
      <c r="J212" s="39" t="n">
        <f aca="false">(E212/C212-1)</f>
        <v>-0.0589621945678662</v>
      </c>
      <c r="K212" s="37" t="n">
        <v>23</v>
      </c>
    </row>
    <row r="213" customFormat="false" ht="15" hidden="false" customHeight="true" outlineLevel="0" collapsed="false">
      <c r="A213" s="37" t="n">
        <v>2025</v>
      </c>
      <c r="B213" s="37" t="s">
        <v>253</v>
      </c>
      <c r="C213" s="38" t="n">
        <v>49074.8</v>
      </c>
      <c r="D213" s="38" t="n">
        <v>50641.75</v>
      </c>
      <c r="E213" s="38" t="n">
        <v>48078.7</v>
      </c>
      <c r="F213" s="38" t="n">
        <v>48344.7</v>
      </c>
      <c r="G213" s="39" t="n">
        <f aca="false">(F213/C213-1)</f>
        <v>-0.0148772893623612</v>
      </c>
      <c r="H213" s="39" t="n">
        <f aca="false">(D213/E213-1)</f>
        <v>0.0533094696820007</v>
      </c>
      <c r="I213" s="39" t="n">
        <f aca="false">(D213/C213-1)</f>
        <v>0.0319298295662946</v>
      </c>
      <c r="J213" s="39" t="n">
        <f aca="false">(E213/C213-1)</f>
        <v>-0.0202975865413615</v>
      </c>
      <c r="K213" s="37" t="n">
        <v>19</v>
      </c>
    </row>
    <row r="214" customFormat="false" ht="15" hidden="false" customHeight="true" outlineLevel="0" collapsed="false">
      <c r="A214" s="37" t="n">
        <v>2025</v>
      </c>
      <c r="B214" s="37" t="s">
        <v>254</v>
      </c>
      <c r="C214" s="38" t="n">
        <v>48478.6</v>
      </c>
      <c r="D214" s="38" t="n">
        <v>52063.95</v>
      </c>
      <c r="E214" s="38" t="n">
        <v>47702.9</v>
      </c>
      <c r="F214" s="38" t="n">
        <v>51564.85</v>
      </c>
      <c r="G214" s="39" t="n">
        <f aca="false">(F214/C214-1)</f>
        <v>0.063662110704517</v>
      </c>
      <c r="H214" s="39" t="n">
        <f aca="false">(D214/E214-1)</f>
        <v>0.0914210666437469</v>
      </c>
      <c r="I214" s="39" t="n">
        <f aca="false">(D214/C214-1)</f>
        <v>0.073957375006704</v>
      </c>
      <c r="J214" s="39" t="n">
        <f aca="false">(E214/C214-1)</f>
        <v>-0.0160008746127156</v>
      </c>
      <c r="K214" s="37" t="n">
        <v>19</v>
      </c>
    </row>
    <row r="215" customFormat="false" ht="15" hidden="false" customHeight="true" outlineLevel="0" collapsed="false">
      <c r="A215" s="37" t="n">
        <v>2025</v>
      </c>
      <c r="B215" s="37" t="s">
        <v>255</v>
      </c>
      <c r="C215" s="38" t="n">
        <v>51178.15</v>
      </c>
      <c r="D215" s="38" t="n">
        <v>56098.7</v>
      </c>
      <c r="E215" s="38" t="n">
        <v>49156.95</v>
      </c>
      <c r="F215" s="38" t="n">
        <v>55087.15</v>
      </c>
      <c r="G215" s="39" t="n">
        <f aca="false">(F215/C215-1)</f>
        <v>0.0763802521193127</v>
      </c>
      <c r="H215" s="39" t="n">
        <f aca="false">(D215/E215-1)</f>
        <v>0.141216043713046</v>
      </c>
      <c r="I215" s="39" t="n">
        <f aca="false">(D215/C215-1)</f>
        <v>0.0961455230405943</v>
      </c>
      <c r="J215" s="39" t="n">
        <f aca="false">(E215/C215-1)</f>
        <v>-0.0394934166240868</v>
      </c>
      <c r="K215" s="37" t="n">
        <v>19</v>
      </c>
    </row>
    <row r="216" customFormat="false" ht="15" hidden="false" customHeight="true" outlineLevel="0" collapsed="false">
      <c r="A216" s="37" t="n">
        <v>2025</v>
      </c>
      <c r="B216" s="37" t="s">
        <v>256</v>
      </c>
      <c r="C216" s="38" t="n">
        <v>55100.95</v>
      </c>
      <c r="D216" s="38" t="n">
        <v>55875.75</v>
      </c>
      <c r="E216" s="38" t="n">
        <v>53483.05</v>
      </c>
      <c r="F216" s="38" t="n">
        <v>55749.7</v>
      </c>
      <c r="G216" s="39" t="n">
        <f aca="false">(F216/C216-1)</f>
        <v>0.0117738441896191</v>
      </c>
      <c r="H216" s="39" t="n">
        <f aca="false">(D216/E216-1)</f>
        <v>0.0447375383415867</v>
      </c>
      <c r="I216" s="39" t="n">
        <f aca="false">(D216/C216-1)</f>
        <v>0.014061463550084</v>
      </c>
      <c r="J216" s="39" t="n">
        <f aca="false">(E216/C216-1)</f>
        <v>-0.029362470157048</v>
      </c>
      <c r="K216" s="37" t="n">
        <v>21</v>
      </c>
    </row>
    <row r="217" customFormat="false" ht="15" hidden="false" customHeight="true" outlineLevel="0" collapsed="false">
      <c r="A217" s="37" t="n">
        <v>2025</v>
      </c>
      <c r="B217" s="37" t="s">
        <v>257</v>
      </c>
      <c r="C217" s="38" t="n">
        <v>55598.25</v>
      </c>
      <c r="D217" s="38" t="n">
        <v>57614.5</v>
      </c>
      <c r="E217" s="38" t="n">
        <v>55149.3</v>
      </c>
      <c r="F217" s="38" t="n">
        <v>57312.75</v>
      </c>
      <c r="G217" s="39" t="n">
        <f aca="false">(F217/C217-1)</f>
        <v>0.0308373015337713</v>
      </c>
      <c r="H217" s="39" t="n">
        <f aca="false">(D217/E217-1)</f>
        <v>0.04470047670596</v>
      </c>
      <c r="I217" s="39" t="n">
        <f aca="false">(D217/C217-1)</f>
        <v>0.0362646306313599</v>
      </c>
      <c r="J217" s="39" t="n">
        <f aca="false">(E217/C217-1)</f>
        <v>-0.00807489444361997</v>
      </c>
      <c r="K217" s="37" t="n">
        <v>21</v>
      </c>
    </row>
    <row r="218" customFormat="false" ht="15" hidden="false" customHeight="true" outlineLevel="0" collapsed="false">
      <c r="A218" s="37" t="n">
        <v>2025</v>
      </c>
      <c r="B218" s="37" t="s">
        <v>258</v>
      </c>
      <c r="C218" s="38" t="n">
        <v>57375.8</v>
      </c>
      <c r="D218" s="38" t="n">
        <v>57628.4</v>
      </c>
      <c r="E218" s="38" t="n">
        <v>55547.35</v>
      </c>
      <c r="F218" s="38" t="n">
        <v>55961.95</v>
      </c>
      <c r="G218" s="39" t="n">
        <f aca="false">(F218/C218-1)</f>
        <v>-0.024641922204135</v>
      </c>
      <c r="H218" s="39" t="n">
        <f aca="false">(D218/E218-1)</f>
        <v>0.0374644334968275</v>
      </c>
      <c r="I218" s="39" t="n">
        <f aca="false">(D218/C218-1)</f>
        <v>0.00440255299272518</v>
      </c>
      <c r="J218" s="39" t="n">
        <f aca="false">(E218/C218-1)</f>
        <v>-0.0318679652397005</v>
      </c>
      <c r="K218" s="37" t="n">
        <v>23</v>
      </c>
    </row>
    <row r="219" customFormat="false" ht="15" hidden="false" customHeight="true" outlineLevel="0" collapsed="false">
      <c r="A219" s="37" t="n">
        <v>2025</v>
      </c>
      <c r="B219" s="37" t="s">
        <v>259</v>
      </c>
      <c r="C219" s="38" t="n">
        <v>55897.15</v>
      </c>
      <c r="D219" s="38" t="n">
        <v>56156.3</v>
      </c>
      <c r="E219" s="38" t="n">
        <v>53606.45</v>
      </c>
      <c r="F219" s="38" t="n">
        <v>53655.65</v>
      </c>
      <c r="G219" s="39" t="n">
        <f aca="false">(F219/C219-1)</f>
        <v>-0.0401004344586441</v>
      </c>
      <c r="H219" s="39" t="n">
        <f aca="false">(D219/E219-1)</f>
        <v>0.0475661044519831</v>
      </c>
      <c r="I219" s="39" t="n">
        <f aca="false">(D219/C219-1)</f>
        <v>0.00463619343741151</v>
      </c>
      <c r="J219" s="39" t="n">
        <f aca="false">(E219/C219-1)</f>
        <v>-0.0409806224467617</v>
      </c>
      <c r="K219" s="37" t="n">
        <v>19</v>
      </c>
    </row>
    <row r="220" customFormat="false" ht="15" hidden="false" customHeight="true" outlineLevel="0" collapsed="false">
      <c r="A220" s="37" t="n">
        <v>2025</v>
      </c>
      <c r="B220" s="37" t="s">
        <v>260</v>
      </c>
      <c r="C220" s="38" t="n">
        <v>53658.15</v>
      </c>
      <c r="D220" s="38" t="n">
        <v>55835.25</v>
      </c>
      <c r="E220" s="38" t="n">
        <v>53561.75</v>
      </c>
      <c r="F220" s="38" t="n">
        <v>54635.85</v>
      </c>
      <c r="G220" s="39" t="n">
        <f aca="false">(F220/C220-1)</f>
        <v>0.0182209040006038</v>
      </c>
      <c r="H220" s="39" t="n">
        <f aca="false">(D220/E220-1)</f>
        <v>0.0424463353045783</v>
      </c>
      <c r="I220" s="39" t="n">
        <f aca="false">(D220/C220-1)</f>
        <v>0.0405735195864934</v>
      </c>
      <c r="J220" s="39" t="n">
        <f aca="false">(E220/C220-1)</f>
        <v>-0.00179655839793214</v>
      </c>
      <c r="K220" s="37" t="n">
        <v>22</v>
      </c>
    </row>
    <row r="221" customFormat="false" ht="15" hidden="false" customHeight="true" outlineLevel="0" collapsed="false">
      <c r="A221" s="37" t="n">
        <v>2025</v>
      </c>
      <c r="B221" s="37" t="s">
        <v>261</v>
      </c>
      <c r="C221" s="38" t="n">
        <v>54653.9</v>
      </c>
      <c r="D221" s="38" t="n">
        <v>58577.5</v>
      </c>
      <c r="E221" s="38" t="n">
        <v>54582.55</v>
      </c>
      <c r="F221" s="38" t="n">
        <v>57776.35</v>
      </c>
      <c r="G221" s="39" t="n">
        <f aca="false">(F221/C221-1)</f>
        <v>0.0571313300606178</v>
      </c>
      <c r="H221" s="39" t="n">
        <f aca="false">(D221/E221-1)</f>
        <v>0.073190974038406</v>
      </c>
      <c r="I221" s="39" t="n">
        <f aca="false">(D221/C221-1)</f>
        <v>0.0717899363082963</v>
      </c>
      <c r="J221" s="39" t="n">
        <f aca="false">(E221/C221-1)</f>
        <v>-0.00130548780599371</v>
      </c>
      <c r="K221" s="37" t="n">
        <v>21</v>
      </c>
    </row>
    <row r="222" customFormat="false" ht="15" hidden="false" customHeight="true" outlineLevel="0" collapsed="false">
      <c r="A222" s="37" t="n">
        <v>2025</v>
      </c>
      <c r="B222" s="37" t="s">
        <v>262</v>
      </c>
      <c r="C222" s="38" t="n">
        <v>57726.85</v>
      </c>
      <c r="D222" s="38" t="n">
        <v>59897.5</v>
      </c>
      <c r="E222" s="38" t="n">
        <v>57157.85</v>
      </c>
      <c r="F222" s="38" t="n">
        <v>59752.7</v>
      </c>
      <c r="G222" s="39" t="n">
        <f aca="false">(F222/C222-1)</f>
        <v>0.0350937215524492</v>
      </c>
      <c r="H222" s="39" t="n">
        <f aca="false">(D222/E222-1)</f>
        <v>0.0479312990254182</v>
      </c>
      <c r="I222" s="39" t="n">
        <f aca="false">(D222/C222-1)</f>
        <v>0.0376020863774829</v>
      </c>
      <c r="J222" s="39" t="n">
        <f aca="false">(E222/C222-1)</f>
        <v>-0.00985676509284672</v>
      </c>
      <c r="K222" s="37" t="n">
        <v>19</v>
      </c>
    </row>
    <row r="223" customFormat="false" ht="15" hidden="false" customHeight="true" outlineLevel="0" collapsed="false">
      <c r="A223" s="37" t="n">
        <v>2025</v>
      </c>
      <c r="B223" s="37" t="s">
        <v>263</v>
      </c>
      <c r="C223" s="38" t="n">
        <v>60102.05</v>
      </c>
      <c r="D223" s="38" t="n">
        <v>60114.3</v>
      </c>
      <c r="E223" s="38" t="n">
        <v>58712.7</v>
      </c>
      <c r="F223" s="38" t="n">
        <v>59581.85</v>
      </c>
      <c r="G223" s="39" t="n">
        <f aca="false">(F223/C223-1)</f>
        <v>-0.00865527881328509</v>
      </c>
      <c r="H223" s="39" t="n">
        <f aca="false">(D223/E223-1)</f>
        <v>0.0238721775697592</v>
      </c>
      <c r="I223" s="39" t="n">
        <f aca="false">(D223/C223-1)</f>
        <v>0.000203820002811828</v>
      </c>
      <c r="J223" s="39" t="n">
        <f aca="false">(E223/C223-1)</f>
        <v>-0.0231165159923831</v>
      </c>
      <c r="K223" s="37" t="n">
        <v>22</v>
      </c>
    </row>
    <row r="224" customFormat="false" ht="15" hidden="false" customHeight="true" outlineLevel="0" collapsed="false">
      <c r="A224" s="40" t="n">
        <v>2026</v>
      </c>
      <c r="B224" s="40" t="s">
        <v>252</v>
      </c>
      <c r="C224" s="41" t="n">
        <v>59674.8</v>
      </c>
      <c r="D224" s="41" t="n">
        <v>60437.35</v>
      </c>
      <c r="E224" s="41" t="n">
        <v>58121.6</v>
      </c>
      <c r="F224" s="41" t="n">
        <v>59610.45</v>
      </c>
      <c r="G224" s="42" t="n">
        <f aca="false">(F224/C224-1)</f>
        <v>-0.00107834462788325</v>
      </c>
      <c r="H224" s="42" t="n">
        <f aca="false">(D224/E224-1)</f>
        <v>0.0398431908275065</v>
      </c>
      <c r="I224" s="42" t="n">
        <f aca="false">(D224/C224-1)</f>
        <v>0.0127784257341457</v>
      </c>
      <c r="J224" s="42" t="n">
        <f aca="false">(E224/C224-1)</f>
        <v>-0.0260277370012133</v>
      </c>
      <c r="K224" s="40" t="n">
        <v>20</v>
      </c>
    </row>
    <row r="225" customFormat="false" ht="15" hidden="false" customHeight="true" outlineLevel="0" collapsed="false">
      <c r="A225" s="40" t="n">
        <v>2026</v>
      </c>
      <c r="B225" s="40" t="s">
        <v>253</v>
      </c>
      <c r="C225" s="41" t="n">
        <v>58239.3</v>
      </c>
      <c r="D225" s="41" t="n">
        <v>61764.85</v>
      </c>
      <c r="E225" s="41" t="n">
        <v>57829.85</v>
      </c>
      <c r="F225" s="41" t="n">
        <v>60529</v>
      </c>
      <c r="G225" s="42" t="n">
        <f aca="false">(F225/C225-1)</f>
        <v>0.0393153763867353</v>
      </c>
      <c r="H225" s="42" t="n">
        <f aca="false">(D225/E225-1)</f>
        <v>0.0680444441754562</v>
      </c>
      <c r="I225" s="42" t="n">
        <f aca="false">(D225/C225-1)</f>
        <v>0.0605355833603769</v>
      </c>
      <c r="J225" s="42" t="n">
        <f aca="false">(E225/C225-1)</f>
        <v>-0.00703047598442985</v>
      </c>
      <c r="K225" s="40" t="n">
        <v>20</v>
      </c>
    </row>
    <row r="226" customFormat="false" ht="15" hidden="false" customHeight="true" outlineLevel="0" collapsed="false">
      <c r="A226" s="40" t="n">
        <v>2026</v>
      </c>
      <c r="B226" s="40" t="s">
        <v>254</v>
      </c>
      <c r="C226" s="41" t="n">
        <v>59204.3</v>
      </c>
      <c r="D226" s="41" t="n">
        <v>60177.5</v>
      </c>
      <c r="E226" s="41" t="n">
        <v>50105.25</v>
      </c>
      <c r="F226" s="41" t="n">
        <v>50275.35</v>
      </c>
      <c r="G226" s="42" t="n">
        <f aca="false">(F226/C226-1)</f>
        <v>-0.150815903574572</v>
      </c>
      <c r="H226" s="42" t="n">
        <f aca="false">(D226/E226-1)</f>
        <v>0.201021849007839</v>
      </c>
      <c r="I226" s="42" t="n">
        <f aca="false">(D226/C226-1)</f>
        <v>0.0164379952131855</v>
      </c>
      <c r="J226" s="42" t="n">
        <f aca="false">(E226/C226-1)</f>
        <v>-0.153689005697221</v>
      </c>
      <c r="K226" s="40" t="n">
        <v>19</v>
      </c>
    </row>
    <row r="227" customFormat="false" ht="15" hidden="false" customHeight="true" outlineLevel="0" collapsed="false">
      <c r="A227" s="40" t="n">
        <v>2026</v>
      </c>
      <c r="B227" s="40" t="s">
        <v>255</v>
      </c>
      <c r="C227" s="41" t="n">
        <v>51433.9</v>
      </c>
      <c r="D227" s="41" t="n">
        <v>57456.3</v>
      </c>
      <c r="E227" s="41" t="n">
        <v>49954.85</v>
      </c>
      <c r="F227" s="41" t="n">
        <v>54863.35</v>
      </c>
      <c r="G227" s="42" t="n">
        <f aca="false">(F227/C227-1)</f>
        <v>0.0666768415383627</v>
      </c>
      <c r="H227" s="42" t="n">
        <f aca="false">(D227/E227-1)</f>
        <v>0.150164598632565</v>
      </c>
      <c r="I227" s="42" t="n">
        <f aca="false">(D227/C227-1)</f>
        <v>0.117090090387857</v>
      </c>
      <c r="J227" s="42" t="n">
        <f aca="false">(E227/C227-1)</f>
        <v>-0.0287563260806589</v>
      </c>
      <c r="K227" s="40" t="n">
        <v>20</v>
      </c>
    </row>
    <row r="228" customFormat="false" ht="15" hidden="false" customHeight="true" outlineLevel="0" collapsed="false">
      <c r="A228" s="40" t="n">
        <v>2026</v>
      </c>
      <c r="B228" s="40" t="s">
        <v>256</v>
      </c>
      <c r="C228" s="41" t="n">
        <v>54937.9</v>
      </c>
      <c r="D228" s="41" t="n">
        <v>56334.15</v>
      </c>
      <c r="E228" s="41" t="n">
        <v>52783.45</v>
      </c>
      <c r="F228" s="41" t="n">
        <v>54239.2</v>
      </c>
      <c r="G228" s="42" t="n">
        <f aca="false">(F228/C228-1)</f>
        <v>-0.0127179961374571</v>
      </c>
      <c r="H228" s="42" t="n">
        <f aca="false">(D228/E228-1)</f>
        <v>0.0672691913847996</v>
      </c>
      <c r="I228" s="42" t="n">
        <f aca="false">(D228/C228-1)</f>
        <v>0.0254150595490545</v>
      </c>
      <c r="J228" s="42" t="n">
        <f aca="false">(E228/C228-1)</f>
        <v>-0.0392160967201149</v>
      </c>
      <c r="K228" s="40" t="n">
        <v>19</v>
      </c>
    </row>
    <row r="229" customFormat="false" ht="15" hidden="false" customHeight="true" outlineLevel="0" collapsed="false">
      <c r="A229" s="40" t="n">
        <v>2026</v>
      </c>
      <c r="B229" s="40" t="s">
        <v>257</v>
      </c>
      <c r="C229" s="41" t="n">
        <v>54403.85</v>
      </c>
      <c r="D229" s="41" t="n">
        <v>58021.25</v>
      </c>
      <c r="E229" s="41" t="n">
        <v>53027.15</v>
      </c>
      <c r="F229" s="41" t="n">
        <v>57653.75</v>
      </c>
      <c r="G229" s="42" t="n">
        <f aca="false">(F229/C229-1)</f>
        <v>0.0597365811426949</v>
      </c>
      <c r="H229" s="42" t="n">
        <f aca="false">(D229/E229-1)</f>
        <v>0.0941800568199498</v>
      </c>
      <c r="I229" s="42" t="n">
        <f aca="false">(D229/C229-1)</f>
        <v>0.0664916177807269</v>
      </c>
      <c r="J229" s="42" t="n">
        <f aca="false">(E229/C229-1)</f>
        <v>-0.0253051943934114</v>
      </c>
      <c r="K229" s="40" t="n">
        <v>15</v>
      </c>
    </row>
  </sheetData>
  <mergeCells count="1">
    <mergeCell ref="A1:L1"/>
  </mergeCells>
  <conditionalFormatting sqref="G4:G229">
    <cfRule type="colorScale" priority="2">
      <colorScale>
        <cfvo type="num" val="-0.15"/>
        <cfvo type="num" val="0"/>
        <cfvo type="num" val="0.15"/>
        <color rgb="FFF8696B"/>
        <color rgb="FFFFFFFF"/>
        <color rgb="FF63BE7B"/>
      </colorScale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2026-06-19T04:56:33Z</dcterms:created>
  <dc:creator>openpyxl</dc:creator>
  <dc:description/>
  <dc:language>en-US</dc:language>
  <cp:lastModifiedBy/>
  <dcterms:modified xsi:type="dcterms:W3CDTF">2026-06-19T05:05:08Z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